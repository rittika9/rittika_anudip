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ti\Downloads\"/>
    </mc:Choice>
  </mc:AlternateContent>
  <xr:revisionPtr revIDLastSave="0" documentId="13_ncr:1_{6A8FA592-7523-45A8-8480-CB61F8915A5A}" xr6:coauthVersionLast="47" xr6:coauthVersionMax="47" xr10:uidLastSave="{00000000-0000-0000-0000-000000000000}"/>
  <bookViews>
    <workbookView xWindow="-120" yWindow="-120" windowWidth="20730" windowHeight="11040" xr2:uid="{6D2C9C16-4DEC-40D9-A859-5DF774BF01E1}"/>
  </bookViews>
  <sheets>
    <sheet name="SalesData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1" l="1" a="1"/>
  <c r="K28" i="1" s="1"/>
  <c r="K42" i="1" a="1"/>
  <c r="K42" i="1" s="1"/>
  <c r="K38" i="1" a="1"/>
  <c r="K38" i="1" s="1"/>
  <c r="K33" i="1" a="1"/>
  <c r="K33" i="1" s="1"/>
  <c r="L28" i="1" a="1"/>
  <c r="L28" i="1" s="1"/>
  <c r="P28" i="1" a="1"/>
  <c r="P28" i="1" s="1"/>
  <c r="O28" i="1" a="1"/>
  <c r="O28" i="1" s="1"/>
  <c r="N28" i="1" a="1"/>
  <c r="N28" i="1" s="1"/>
  <c r="M28" i="1" a="1"/>
  <c r="M28" i="1" s="1"/>
  <c r="K26" i="1" a="1"/>
  <c r="K26" i="1" s="1"/>
  <c r="K19" i="1"/>
  <c r="K8" i="1"/>
  <c r="K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<sst xmlns="http://schemas.openxmlformats.org/spreadsheetml/2006/main" count="38" uniqueCount="22">
  <si>
    <t>HLookUp</t>
  </si>
  <si>
    <t>Product A</t>
  </si>
  <si>
    <t>Product B</t>
  </si>
  <si>
    <t>Product C</t>
  </si>
  <si>
    <t>Product D</t>
  </si>
  <si>
    <t>Product E</t>
  </si>
  <si>
    <t>Product F</t>
  </si>
  <si>
    <t>Jan</t>
  </si>
  <si>
    <t>Feb</t>
  </si>
  <si>
    <t>Mar</t>
  </si>
  <si>
    <t>Apr</t>
  </si>
  <si>
    <t>May</t>
  </si>
  <si>
    <t xml:space="preserve">1. Use HLOOKUP to find the sales for Product A in March. </t>
  </si>
  <si>
    <t xml:space="preserve">2. Use HLOOKUP to find the sales for Product D in May. </t>
  </si>
  <si>
    <t xml:space="preserve">3. Use HLOOKUP to find the sales for Product C in February. </t>
  </si>
  <si>
    <t xml:space="preserve">4. Use HLOOKUP to find the sales for each month for a product, then calculate the total sales for that product. </t>
  </si>
  <si>
    <t xml:space="preserve">5. Use HLOOKUP to find the maximum sales value for Product B across all months. </t>
  </si>
  <si>
    <t xml:space="preserve">6. Use HLOOKUP to find the minimum sales value for Product F across all months. </t>
  </si>
  <si>
    <t xml:space="preserve">7. Use HLOOKUP to find the average sales value for Product E across all months. </t>
  </si>
  <si>
    <t>Total Sales</t>
  </si>
  <si>
    <t>Sales</t>
  </si>
  <si>
    <t>Month(select the 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</si>
</sst>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20"/>
      <color theme="7" tint="-0.499984740745262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3" tint="0.249977111117893"/>
      <name val="Aptos Narrow"/>
      <family val="2"/>
      <scheme val="minor"/>
    </font>
    <font>
      <b/>
      <sz val="14"/>
      <color rgb="FFC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0" fontId="1" fillId="0" borderId="0" xfId="0" applyFont="1"/>
    <xf numFmtId="0" fontId="0" fillId="4" borderId="1" xfId="0" applyFill="1" applyBorder="1"/>
    <xf numFmtId="0" fontId="0" fillId="4" borderId="2" xfId="0" applyFill="1" applyBorder="1"/>
    <xf numFmtId="0" fontId="1" fillId="4" borderId="4" xfId="0" applyFont="1" applyFill="1" applyBorder="1"/>
    <xf numFmtId="0" fontId="0" fillId="5" borderId="6" xfId="0" applyFill="1" applyBorder="1"/>
    <xf numFmtId="0" fontId="4" fillId="5" borderId="6" xfId="0" applyFont="1" applyFill="1" applyBorder="1"/>
    <xf numFmtId="0" fontId="0" fillId="5" borderId="3" xfId="0" applyFill="1" applyBorder="1"/>
    <xf numFmtId="0" fontId="0" fillId="5" borderId="5" xfId="0" applyFill="1" applyBorder="1"/>
    <xf numFmtId="0" fontId="5" fillId="5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76CA7-AF01-4AAE-8D5B-C38E97465DEF}">
  <dimension ref="B2:P42"/>
  <sheetViews>
    <sheetView tabSelected="1" topLeftCell="A15" zoomScale="136" zoomScaleNormal="136" workbookViewId="0">
      <selection activeCell="G20" sqref="G20"/>
    </sheetView>
  </sheetViews>
  <sheetFormatPr defaultRowHeight="15" x14ac:dyDescent="0.25"/>
  <cols>
    <col min="10" max="10" width="23.140625" customWidth="1"/>
    <col min="11" max="11" width="9.7109375" customWidth="1"/>
  </cols>
  <sheetData>
    <row r="2" spans="2:11" ht="26.25" x14ac:dyDescent="0.4">
      <c r="I2" s="1" t="s">
        <v>0</v>
      </c>
    </row>
    <row r="4" spans="2:11" x14ac:dyDescent="0.25">
      <c r="B4" s="4"/>
      <c r="C4" s="3" t="s">
        <v>7</v>
      </c>
      <c r="D4" s="3" t="s">
        <v>8</v>
      </c>
      <c r="E4" s="3" t="s">
        <v>9</v>
      </c>
      <c r="F4" s="3" t="s">
        <v>10</v>
      </c>
      <c r="G4" s="3" t="s">
        <v>11</v>
      </c>
    </row>
    <row r="5" spans="2:11" x14ac:dyDescent="0.25">
      <c r="B5" s="2" t="s">
        <v>1</v>
      </c>
      <c r="C5" s="2">
        <v>120</v>
      </c>
      <c r="D5" s="2">
        <v>130</v>
      </c>
      <c r="E5" s="2">
        <v>140</v>
      </c>
      <c r="F5" s="2">
        <v>150</v>
      </c>
      <c r="G5" s="2">
        <v>160</v>
      </c>
      <c r="J5" t="s">
        <v>12</v>
      </c>
    </row>
    <row r="6" spans="2:11" x14ac:dyDescent="0.25">
      <c r="B6" s="2" t="s">
        <v>2</v>
      </c>
      <c r="C6" s="2">
        <v>150</v>
      </c>
      <c r="D6" s="2">
        <v>160</v>
      </c>
      <c r="E6" s="2">
        <v>170</v>
      </c>
      <c r="F6" s="2">
        <v>180</v>
      </c>
      <c r="G6" s="2">
        <v>190</v>
      </c>
    </row>
    <row r="7" spans="2:11" x14ac:dyDescent="0.25">
      <c r="B7" s="2" t="s">
        <v>3</v>
      </c>
      <c r="C7" s="2">
        <v>200</v>
      </c>
      <c r="D7" s="2">
        <v>210</v>
      </c>
      <c r="E7" s="2">
        <v>220</v>
      </c>
      <c r="F7" s="2">
        <v>230</v>
      </c>
      <c r="G7" s="2">
        <v>240</v>
      </c>
      <c r="J7" s="7" t="s">
        <v>1</v>
      </c>
    </row>
    <row r="8" spans="2:11" x14ac:dyDescent="0.25">
      <c r="B8" s="2" t="s">
        <v>4</v>
      </c>
      <c r="C8" s="2">
        <v>90</v>
      </c>
      <c r="D8" s="2">
        <v>100</v>
      </c>
      <c r="E8" s="2">
        <v>110</v>
      </c>
      <c r="F8" s="2">
        <v>120</v>
      </c>
      <c r="G8" s="2">
        <v>130</v>
      </c>
      <c r="J8" s="5" t="s">
        <v>9</v>
      </c>
      <c r="K8" s="5">
        <f>HLOOKUP(J8,B4:G10,2,0)</f>
        <v>140</v>
      </c>
    </row>
    <row r="9" spans="2:11" x14ac:dyDescent="0.25">
      <c r="B9" s="2" t="s">
        <v>5</v>
      </c>
      <c r="C9" s="2">
        <v>220</v>
      </c>
      <c r="D9" s="2">
        <v>230</v>
      </c>
      <c r="E9" s="2">
        <v>240</v>
      </c>
      <c r="F9" s="2">
        <v>250</v>
      </c>
      <c r="G9" s="2">
        <v>260</v>
      </c>
    </row>
    <row r="10" spans="2:11" x14ac:dyDescent="0.25">
      <c r="B10" s="2" t="s">
        <v>6</v>
      </c>
      <c r="C10" s="2">
        <v>130</v>
      </c>
      <c r="D10" s="2">
        <v>140</v>
      </c>
      <c r="E10" s="2">
        <v>150</v>
      </c>
      <c r="F10" s="2">
        <v>160</v>
      </c>
      <c r="G10" s="2">
        <v>170</v>
      </c>
    </row>
    <row r="11" spans="2:11" x14ac:dyDescent="0.25">
      <c r="J11" t="s">
        <v>13</v>
      </c>
    </row>
    <row r="13" spans="2:11" x14ac:dyDescent="0.25">
      <c r="J13" s="8" t="s">
        <v>4</v>
      </c>
    </row>
    <row r="14" spans="2:11" x14ac:dyDescent="0.25">
      <c r="J14" s="5" t="s">
        <v>11</v>
      </c>
      <c r="K14" s="5">
        <f>HLOOKUP(J14,B4:G10,5,0)</f>
        <v>130</v>
      </c>
    </row>
    <row r="16" spans="2:11" x14ac:dyDescent="0.25">
      <c r="J16" t="s">
        <v>14</v>
      </c>
    </row>
    <row r="18" spans="3:16" x14ac:dyDescent="0.25">
      <c r="J18" s="8" t="s">
        <v>3</v>
      </c>
    </row>
    <row r="19" spans="3:16" x14ac:dyDescent="0.25">
      <c r="J19" s="5" t="s">
        <v>8</v>
      </c>
      <c r="K19" s="5">
        <f>HLOOKUP(J19,B4:G10,4)</f>
        <v>210</v>
      </c>
    </row>
    <row r="22" spans="3:16" x14ac:dyDescent="0.25">
      <c r="J22" t="s">
        <v>15</v>
      </c>
    </row>
    <row r="24" spans="3:16" ht="18.75" x14ac:dyDescent="0.3">
      <c r="D24" s="6"/>
      <c r="E24" s="6"/>
      <c r="F24" s="6"/>
      <c r="G24" s="6"/>
      <c r="H24" s="6"/>
      <c r="I24" s="6"/>
      <c r="J24" s="13"/>
      <c r="K24" s="10"/>
      <c r="L24" s="14" t="s">
        <v>20</v>
      </c>
      <c r="M24" s="11"/>
      <c r="N24" s="11"/>
      <c r="O24" s="10"/>
      <c r="P24" s="12"/>
    </row>
    <row r="25" spans="3:16" x14ac:dyDescent="0.25">
      <c r="C25" s="6"/>
      <c r="J25" s="9" t="s">
        <v>21</v>
      </c>
      <c r="K25" s="9" t="s">
        <v>1</v>
      </c>
      <c r="L25" s="9" t="s">
        <v>2</v>
      </c>
      <c r="M25" s="9" t="s">
        <v>3</v>
      </c>
      <c r="N25" s="9" t="s">
        <v>4</v>
      </c>
      <c r="O25" s="9" t="s">
        <v>5</v>
      </c>
      <c r="P25" s="9" t="s">
        <v>6</v>
      </c>
    </row>
    <row r="26" spans="3:16" x14ac:dyDescent="0.25">
      <c r="J26" s="5" t="s">
        <v>10</v>
      </c>
      <c r="K26" s="2" cm="1">
        <f t="array" ref="K26:P26">HLOOKUP(J26,B4:G10,{2,3,4,5,6,7},0)</f>
        <v>150</v>
      </c>
      <c r="L26" s="2">
        <v>180</v>
      </c>
      <c r="M26" s="2">
        <v>230</v>
      </c>
      <c r="N26" s="2">
        <v>120</v>
      </c>
      <c r="O26" s="2">
        <v>250</v>
      </c>
      <c r="P26" s="2">
        <v>160</v>
      </c>
    </row>
    <row r="27" spans="3:16" x14ac:dyDescent="0.25">
      <c r="J27" s="5"/>
      <c r="K27" s="2"/>
      <c r="L27" s="2"/>
      <c r="M27" s="2"/>
      <c r="N27" s="2"/>
      <c r="O27" s="2"/>
      <c r="P27" s="2"/>
    </row>
    <row r="28" spans="3:16" x14ac:dyDescent="0.25">
      <c r="J28" s="5" t="s">
        <v>19</v>
      </c>
      <c r="K28" s="2" cm="1">
        <f t="array" ref="K28">SUM(HLOOKUP(C4:G4,B4:G10,2,0))</f>
        <v>700</v>
      </c>
      <c r="L28" s="2" cm="1">
        <f t="array" ref="L28">SUM(HLOOKUP(C4:G4,B4:G10,3,0))</f>
        <v>850</v>
      </c>
      <c r="M28" s="2" cm="1">
        <f t="array" ref="M28">SUM(HLOOKUP(C4:G4,B4:G10,4,0))</f>
        <v>1100</v>
      </c>
      <c r="N28" s="2" cm="1">
        <f t="array" ref="N28">SUM(HLOOKUP(C4:G4,B4:G10,5,0))</f>
        <v>550</v>
      </c>
      <c r="O28" s="2" cm="1">
        <f t="array" ref="O28">SUM(HLOOKUP(C4:G4,B4:G10,6,0))</f>
        <v>1200</v>
      </c>
      <c r="P28" s="2" cm="1">
        <f t="array" ref="P28">SUM(HLOOKUP(C4:G4,B4:G10,7,0))</f>
        <v>750</v>
      </c>
    </row>
    <row r="31" spans="3:16" x14ac:dyDescent="0.25">
      <c r="J31" t="s">
        <v>16</v>
      </c>
    </row>
    <row r="33" spans="10:11" x14ac:dyDescent="0.25">
      <c r="J33" s="5" t="s">
        <v>2</v>
      </c>
      <c r="K33" s="2" cm="1">
        <f t="array" ref="K33">MAX(HLOOKUP(C4:G4,B4:G10,3,0))</f>
        <v>190</v>
      </c>
    </row>
    <row r="36" spans="10:11" x14ac:dyDescent="0.25">
      <c r="J36" t="s">
        <v>17</v>
      </c>
    </row>
    <row r="38" spans="10:11" x14ac:dyDescent="0.25">
      <c r="J38" s="5" t="s">
        <v>6</v>
      </c>
      <c r="K38" s="2" cm="1">
        <f t="array" ref="K38">MIN(HLOOKUP(C4:G4,B4:G10,7,0))</f>
        <v>130</v>
      </c>
    </row>
    <row r="40" spans="10:11" x14ac:dyDescent="0.25">
      <c r="J40" t="s">
        <v>18</v>
      </c>
    </row>
    <row r="42" spans="10:11" x14ac:dyDescent="0.25">
      <c r="J42" s="5" t="s">
        <v>5</v>
      </c>
      <c r="K42" s="2" cm="1">
        <f t="array" ref="K42">AVERAGE(HLOOKUP(C4:G4,B4:G10,6,0))</f>
        <v>240</v>
      </c>
    </row>
  </sheetData>
  <phoneticPr fontId="3" type="noConversion"/>
  <dataValidations count="1">
    <dataValidation type="list" allowBlank="1" showInputMessage="1" showErrorMessage="1" sqref="I10 J26 H25" xr:uid="{F99A2C78-D1BE-4D79-947B-6314343630AD}">
      <formula1>$C$4:$G$4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Rittika Ghosh</dc:creator>
  <cp:lastModifiedBy>Rittika Ghosh</cp:lastModifiedBy>
  <dcterms:created xsi:type="dcterms:W3CDTF">2026-05-22T12:32:49Z</dcterms:created>
  <dcterms:modified xsi:type="dcterms:W3CDTF">2026-05-26T18:56:18Z</dcterms:modified>
</cp:coreProperties>
</file>