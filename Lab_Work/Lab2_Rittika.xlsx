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13_ncr:1_{752D2BB3-96D0-44FF-84EB-CDC91671EDF0}" xr6:coauthVersionLast="47" xr6:coauthVersionMax="47" xr10:uidLastSave="{00000000-0000-0000-0000-000000000000}"/>
  <bookViews>
    <workbookView xWindow="-120" yWindow="-120" windowWidth="20730" windowHeight="11040" xr2:uid="{BB26BF5D-9012-4C42-BC54-22E0AB855D49}"/>
  </bookViews>
  <sheets>
    <sheet name="Lab2_Rittik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M3" i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F3" i="1"/>
  <c r="F4" i="1"/>
  <c r="F5" i="1"/>
  <c r="F6" i="1"/>
  <c r="F7" i="1"/>
  <c r="F2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<sst xmlns="http://schemas.openxmlformats.org/spreadsheetml/2006/main" count="34" uniqueCount="32">
  <si>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</si>
  <si>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</si>
  <si>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</si>
  <si>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</si>
  <si>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</si>
  <si>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ProductA</t>
  </si>
  <si>
    <t>ProductB</t>
  </si>
  <si>
    <t>ProductC</t>
  </si>
  <si>
    <t>ProductD</t>
  </si>
  <si>
    <t>ProductE</t>
  </si>
  <si>
    <t>ProductF</t>
  </si>
  <si>
    <t>North</t>
  </si>
  <si>
    <t>South</t>
  </si>
  <si>
    <t>East</t>
  </si>
  <si>
    <t>West</t>
  </si>
  <si>
    <t xml:space="preserve">1. Use the IF function to evaluate whether each product met its sales target. </t>
  </si>
  <si>
    <t xml:space="preserve">2.Use the IF function to determine if a product is eligible for a regional bonus. Products in the "North" region with sales over 200 are eligible. </t>
  </si>
  <si>
    <t xml:space="preserve">3. Use nested IF functions to assign a commission rate based on sales. Sales &gt;= 200 get a 10% commission, sales &gt;= 150 get a 7% commission, and others get a 5% commission. </t>
  </si>
  <si>
    <t xml:space="preserve">4. Use the IF function to calculate a bonus amount. If sales met or exceeded the target, the bonus is 10% of the sales; otherwise, it's 5%. </t>
  </si>
  <si>
    <t>1.Target Met/Not</t>
  </si>
  <si>
    <t>2.Regional Bonus Eligible/Not</t>
  </si>
  <si>
    <t>3.Commission Rate</t>
  </si>
  <si>
    <t>4.Bonus Amount</t>
  </si>
  <si>
    <t xml:space="preserve">5. Use the IF function to categorize sales performance as "Excellent" (&gt;=200), "Good" (&gt;=150), or "Needs Improvement" (&lt;150). </t>
  </si>
  <si>
    <t>5.Performance</t>
  </si>
  <si>
    <t>6.Price Tier</t>
  </si>
  <si>
    <t>7. Year-End Bonus</t>
  </si>
  <si>
    <t xml:space="preserve">6. Use the IF function to assign a price tier based on the sales value. "High" for sales &gt; 200, "Medium" for sales between 100 and 200, and "Low" for sales &lt; 100. </t>
  </si>
  <si>
    <t xml:space="preserve">7. Use the IF function to calculate the year-end bonus. If sales &gt;= 150 and region is "North", the bonus is $500, otherwise, it's $300. </t>
  </si>
  <si>
    <t xml:space="preserve">8. Use the IF function to mark high performers. A product is a high performer if its sales are in the top 25% of all sales. </t>
  </si>
  <si>
    <t>8. High Performer</t>
  </si>
  <si>
    <t xml:space="preserve">IF statement Exercise Questions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</si>
</sst>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8A15-3B5D-4376-BA71-FC5B374CD919}">
  <dimension ref="A1:O9"/>
  <sheetViews>
    <sheetView tabSelected="1" workbookViewId="0">
      <pane xSplit="1" topLeftCell="I1" activePane="topRight" state="frozen"/>
      <selection pane="topRight" activeCell="M1" sqref="M1"/>
    </sheetView>
  </sheetViews>
  <sheetFormatPr defaultRowHeight="15" x14ac:dyDescent="0.25"/>
  <cols>
    <col min="6" max="6" width="16.7109375" customWidth="1"/>
    <col min="7" max="7" width="27.85546875" bestFit="1" customWidth="1"/>
    <col min="8" max="8" width="18.140625" bestFit="1" customWidth="1"/>
    <col min="9" max="9" width="15.7109375" bestFit="1" customWidth="1"/>
    <col min="10" max="10" width="19.5703125" bestFit="1" customWidth="1"/>
    <col min="11" max="11" width="10.85546875" bestFit="1" customWidth="1"/>
    <col min="12" max="12" width="17.85546875" bestFit="1" customWidth="1"/>
    <col min="13" max="13" width="16.710937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24</v>
      </c>
      <c r="K1" s="3" t="s">
        <v>25</v>
      </c>
      <c r="L1" s="3" t="s">
        <v>26</v>
      </c>
      <c r="M1" s="3" t="s">
        <v>30</v>
      </c>
      <c r="N1" s="1"/>
      <c r="O1" s="5" t="s">
        <v>31</v>
      </c>
    </row>
    <row r="2" spans="1:15" x14ac:dyDescent="0.25">
      <c r="A2" s="4">
        <v>101</v>
      </c>
      <c r="B2" s="1" t="s">
        <v>5</v>
      </c>
      <c r="C2" s="1">
        <v>120</v>
      </c>
      <c r="D2" s="1">
        <v>150</v>
      </c>
      <c r="E2" s="1" t="s">
        <v>11</v>
      </c>
      <c r="F2" s="1" t="str">
        <f>IF(C2&gt;=D2,"Met target","Did n’t Met target")</f>
        <v>Did n’t Met target</v>
      </c>
      <c r="G2" s="1" t="str">
        <f>IF(AND(E2="North",C2&gt;200),"Eligible","No")</f>
        <v>No</v>
      </c>
      <c r="H2" s="1" t="str">
        <f>IF(C2&gt;=200,"10%",IF(C2&gt;=150,"7%","5%"))</f>
        <v>5%</v>
      </c>
      <c r="I2" s="1">
        <f>IF(C2&gt;=D2,C2*10%,C2*5%)</f>
        <v>6</v>
      </c>
      <c r="J2" s="1" t="str">
        <f>IF(C2&gt;=200,"Excellent",IF(C2&gt;=150,"Good","Needs Improvement"))</f>
        <v>Needs Improvement</v>
      </c>
      <c r="K2" s="1" t="str">
        <f>IF(C2&gt;200, "High", IF(C2&gt;=100, "Medium", "Low"))</f>
        <v>Medium</v>
      </c>
      <c r="L2" s="1">
        <f>IF(AND(C2&gt;=200,E2="North"),500,300)</f>
        <v>300</v>
      </c>
      <c r="M2" s="1" t="str">
        <f>IF(C2&gt;=PERCENTILE($C$2:$C$7,0.75),"High Performer","")</f>
        <v/>
      </c>
      <c r="N2" s="1"/>
      <c r="O2" s="1" t="s">
        <v>15</v>
      </c>
    </row>
    <row r="3" spans="1:15" x14ac:dyDescent="0.25">
      <c r="A3" s="4">
        <v>102</v>
      </c>
      <c r="B3" s="1" t="s">
        <v>6</v>
      </c>
      <c r="C3" s="1">
        <v>150</v>
      </c>
      <c r="D3" s="1">
        <v>140</v>
      </c>
      <c r="E3" s="1" t="s">
        <v>12</v>
      </c>
      <c r="F3" s="1" t="str">
        <f t="shared" ref="F3:F7" si="0">IF(C3&gt;=D3,"Met target","Did n’t Met target")</f>
        <v>Met target</v>
      </c>
      <c r="G3" s="1" t="str">
        <f t="shared" ref="G3:G7" si="1">IF(AND(E3="North",C3&gt;200),"Eligible","No")</f>
        <v>No</v>
      </c>
      <c r="H3" s="1" t="str">
        <f t="shared" ref="H3:H7" si="2">IF(C3&gt;=200,"10%",IF(C3&gt;=150,"7%","5%"))</f>
        <v>7%</v>
      </c>
      <c r="I3" s="1">
        <f t="shared" ref="I3:I7" si="3">IF(C3&gt;=D3,C3*10%,C3*5%)</f>
        <v>15</v>
      </c>
      <c r="J3" s="1" t="str">
        <f t="shared" ref="J3:J7" si="4">IF(C3&gt;=200,"Excellent",IF(C3&gt;=150,"Good","Needs Improvement"))</f>
        <v>Good</v>
      </c>
      <c r="K3" s="1" t="str">
        <f t="shared" ref="K3:K7" si="5">IF(C3&gt;200, "High", IF(C3&gt;=100, "Medium", "Low"))</f>
        <v>Medium</v>
      </c>
      <c r="L3" s="1">
        <f t="shared" ref="L3:L7" si="6">IF(AND(C3&gt;=200,E3="North"),500,300)</f>
        <v>300</v>
      </c>
      <c r="M3" s="1" t="str">
        <f t="shared" ref="M3:M7" si="7">IF(C3&gt;=PERCENTILE($C$2:$C$7,0.75),"High Performer","")</f>
        <v/>
      </c>
      <c r="N3" s="1"/>
      <c r="O3" s="1" t="s">
        <v>16</v>
      </c>
    </row>
    <row r="4" spans="1:15" x14ac:dyDescent="0.25">
      <c r="A4" s="4">
        <v>103</v>
      </c>
      <c r="B4" s="1" t="s">
        <v>7</v>
      </c>
      <c r="C4" s="1">
        <v>200</v>
      </c>
      <c r="D4" s="1">
        <v>200</v>
      </c>
      <c r="E4" s="1" t="s">
        <v>13</v>
      </c>
      <c r="F4" s="1" t="str">
        <f t="shared" si="0"/>
        <v>Met target</v>
      </c>
      <c r="G4" s="1" t="str">
        <f t="shared" si="1"/>
        <v>No</v>
      </c>
      <c r="H4" s="1" t="str">
        <f t="shared" si="2"/>
        <v>10%</v>
      </c>
      <c r="I4" s="1">
        <f t="shared" si="3"/>
        <v>20</v>
      </c>
      <c r="J4" s="1" t="str">
        <f t="shared" si="4"/>
        <v>Excellent</v>
      </c>
      <c r="K4" s="1" t="str">
        <f t="shared" si="5"/>
        <v>Medium</v>
      </c>
      <c r="L4" s="1">
        <f t="shared" si="6"/>
        <v>300</v>
      </c>
      <c r="M4" s="1" t="str">
        <f t="shared" si="7"/>
        <v>High Performer</v>
      </c>
      <c r="N4" s="1"/>
      <c r="O4" s="1" t="s">
        <v>17</v>
      </c>
    </row>
    <row r="5" spans="1:15" x14ac:dyDescent="0.25">
      <c r="A5" s="4">
        <v>104</v>
      </c>
      <c r="B5" s="1" t="s">
        <v>8</v>
      </c>
      <c r="C5" s="1">
        <v>90</v>
      </c>
      <c r="D5" s="1">
        <v>100</v>
      </c>
      <c r="E5" s="1" t="s">
        <v>14</v>
      </c>
      <c r="F5" s="1" t="str">
        <f t="shared" si="0"/>
        <v>Did n’t Met target</v>
      </c>
      <c r="G5" s="1" t="str">
        <f t="shared" si="1"/>
        <v>No</v>
      </c>
      <c r="H5" s="1" t="str">
        <f t="shared" si="2"/>
        <v>5%</v>
      </c>
      <c r="I5" s="1">
        <f t="shared" si="3"/>
        <v>4.5</v>
      </c>
      <c r="J5" s="1" t="str">
        <f t="shared" si="4"/>
        <v>Needs Improvement</v>
      </c>
      <c r="K5" s="1" t="str">
        <f t="shared" si="5"/>
        <v>Low</v>
      </c>
      <c r="L5" s="1">
        <f t="shared" si="6"/>
        <v>300</v>
      </c>
      <c r="M5" s="1" t="str">
        <f t="shared" si="7"/>
        <v/>
      </c>
      <c r="N5" s="1"/>
      <c r="O5" s="1" t="s">
        <v>18</v>
      </c>
    </row>
    <row r="6" spans="1:15" x14ac:dyDescent="0.25">
      <c r="A6" s="4">
        <v>105</v>
      </c>
      <c r="B6" s="1" t="s">
        <v>9</v>
      </c>
      <c r="C6" s="1">
        <v>220</v>
      </c>
      <c r="D6" s="1">
        <v>210</v>
      </c>
      <c r="E6" s="1" t="s">
        <v>11</v>
      </c>
      <c r="F6" s="1" t="str">
        <f t="shared" si="0"/>
        <v>Met target</v>
      </c>
      <c r="G6" s="1" t="str">
        <f t="shared" si="1"/>
        <v>Eligible</v>
      </c>
      <c r="H6" s="1" t="str">
        <f t="shared" si="2"/>
        <v>10%</v>
      </c>
      <c r="I6" s="1">
        <f t="shared" si="3"/>
        <v>22</v>
      </c>
      <c r="J6" s="1" t="str">
        <f t="shared" si="4"/>
        <v>Excellent</v>
      </c>
      <c r="K6" s="1" t="str">
        <f t="shared" si="5"/>
        <v>High</v>
      </c>
      <c r="L6" s="1">
        <f t="shared" si="6"/>
        <v>500</v>
      </c>
      <c r="M6" s="1" t="str">
        <f t="shared" si="7"/>
        <v>High Performer</v>
      </c>
      <c r="N6" s="1"/>
      <c r="O6" s="1" t="s">
        <v>23</v>
      </c>
    </row>
    <row r="7" spans="1:15" x14ac:dyDescent="0.25">
      <c r="A7" s="4">
        <v>106</v>
      </c>
      <c r="B7" s="1" t="s">
        <v>10</v>
      </c>
      <c r="C7" s="1">
        <v>130</v>
      </c>
      <c r="D7" s="1">
        <v>160</v>
      </c>
      <c r="E7" s="1" t="s">
        <v>12</v>
      </c>
      <c r="F7" s="1" t="str">
        <f t="shared" si="0"/>
        <v>Did n’t Met target</v>
      </c>
      <c r="G7" s="1" t="str">
        <f t="shared" si="1"/>
        <v>No</v>
      </c>
      <c r="H7" s="1" t="str">
        <f t="shared" si="2"/>
        <v>5%</v>
      </c>
      <c r="I7" s="1">
        <f t="shared" si="3"/>
        <v>6.5</v>
      </c>
      <c r="J7" s="1" t="str">
        <f t="shared" si="4"/>
        <v>Needs Improvement</v>
      </c>
      <c r="K7" s="1" t="str">
        <f t="shared" si="5"/>
        <v>Medium</v>
      </c>
      <c r="L7" s="1">
        <f t="shared" si="6"/>
        <v>300</v>
      </c>
      <c r="M7" s="1" t="str">
        <f t="shared" si="7"/>
        <v/>
      </c>
      <c r="N7" s="1"/>
      <c r="O7" s="1" t="s">
        <v>27</v>
      </c>
    </row>
    <row r="8" spans="1:15" x14ac:dyDescent="0.25">
      <c r="O8" s="1" t="s">
        <v>28</v>
      </c>
    </row>
    <row r="9" spans="1:15" x14ac:dyDescent="0.25">
      <c r="O9" s="1" t="s">
        <v>29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Lab2_Rittika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2026-05-18T13:17:34Z</dcterms:created>
  <dcterms:modified xsi:type="dcterms:W3CDTF">2026-05-18T16:34:48Z</dcterms:modified>
</cp:coreProperties>
</file>