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8_{34416948-C3B2-4097-90DC-A1868574AA8B}" xr6:coauthVersionLast="47" xr6:coauthVersionMax="47" xr10:uidLastSave="{00000000-0000-0000-0000-000000000000}"/>
  <bookViews>
    <workbookView xWindow="-120" yWindow="-120" windowWidth="20730" windowHeight="11040" xr2:uid="{4AFE8ACC-6030-4795-B96F-0655EF8DF9C4}"/>
  </bookViews>
  <sheets>
    <sheet name="VLOOKUP,HLOOKUP 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92" i="1"/>
  <c r="I88" i="1"/>
  <c r="I84" i="1"/>
  <c r="I80" i="1"/>
  <c r="I72" i="1"/>
  <c r="I68" i="1"/>
  <c r="I64" i="1"/>
  <c r="I60" i="1"/>
  <c r="I56" i="1"/>
  <c r="I45" i="1"/>
  <c r="I41" i="1"/>
  <c r="I37" i="1"/>
  <c r="I33" i="1"/>
  <c r="I26" i="1"/>
  <c r="I22" i="1"/>
  <c r="I18" i="1"/>
  <c r="I14" i="1"/>
  <c r="I10" i="1"/>
  <c r="I6" i="1"/>
</calcChain>
</file>

<file path=xl/sharedStrings.xml><?xml version="1.0" encoding="utf-8"?>
<sst xmlns="http://schemas.openxmlformats.org/spreadsheetml/2006/main" count="169" uniqueCount="103">
  <si>
    <t>Emp ID</t>
  </si>
  <si>
    <t>E101</t>
  </si>
  <si>
    <t>E102</t>
  </si>
  <si>
    <t>E103</t>
  </si>
  <si>
    <t>E104</t>
  </si>
  <si>
    <t>E105</t>
  </si>
  <si>
    <t>E106</t>
  </si>
  <si>
    <t>E107</t>
  </si>
  <si>
    <t>E108</t>
  </si>
  <si>
    <t>Name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</si>
  <si>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</si>
  <si>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</si>
  <si>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</si>
  <si>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</si>
  <si>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</si>
  <si>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</si>
  <si>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</si>
  <si>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</si>
  <si>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Department</t>
  </si>
  <si>
    <t>HR</t>
  </si>
  <si>
    <t>IT</t>
  </si>
  <si>
    <t>Finance</t>
  </si>
  <si>
    <t>Marketing</t>
  </si>
  <si>
    <t>Salary</t>
  </si>
  <si>
    <t>City</t>
  </si>
  <si>
    <t>Delhi</t>
  </si>
  <si>
    <t>Kolkata</t>
  </si>
  <si>
    <t>Mumbai</t>
  </si>
  <si>
    <t>Bangalore</t>
  </si>
  <si>
    <t>Pune</t>
  </si>
  <si>
    <t>Chennai</t>
  </si>
  <si>
    <t>Student ID</t>
  </si>
  <si>
    <t>Maths</t>
  </si>
  <si>
    <t>Science</t>
  </si>
  <si>
    <t>English</t>
  </si>
  <si>
    <t>Asha</t>
  </si>
  <si>
    <t>Ravi</t>
  </si>
  <si>
    <t>Meena</t>
  </si>
  <si>
    <t>Kiran</t>
  </si>
  <si>
    <t>Math Marks</t>
  </si>
  <si>
    <t>S101</t>
  </si>
  <si>
    <t>S102</t>
  </si>
  <si>
    <t>S103</t>
  </si>
  <si>
    <t>S104</t>
  </si>
  <si>
    <t>S105</t>
  </si>
  <si>
    <t>Science Marks</t>
  </si>
  <si>
    <t>English Marks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</si>
  <si>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</si>
  <si>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</si>
  <si>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</si>
  <si>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</si>
  <si>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</si>
  <si>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</si>
  <si>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</si>
  <si>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</si>
  <si>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</si>
  <si>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</si>
  <si>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</si>
  <si>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</si>
  <si>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</si>
  <si>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</si>
  <si>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ID</t>
  </si>
  <si>
    <t>Course</t>
  </si>
  <si>
    <t>Fees</t>
  </si>
  <si>
    <t>C101</t>
  </si>
  <si>
    <t>C103</t>
  </si>
  <si>
    <t>C102</t>
  </si>
  <si>
    <t>C104</t>
  </si>
  <si>
    <t>C105</t>
  </si>
  <si>
    <t>Rohan</t>
  </si>
  <si>
    <t>Ananya</t>
  </si>
  <si>
    <t>Vikram</t>
  </si>
  <si>
    <t>Aman</t>
  </si>
  <si>
    <t>Excel</t>
  </si>
  <si>
    <t>PowerBI</t>
  </si>
  <si>
    <t>SQL</t>
  </si>
  <si>
    <t>Python</t>
  </si>
  <si>
    <t>Tableau</t>
  </si>
  <si>
    <t>Science marks</t>
  </si>
  <si>
    <t>Table 1 – Employee Data</t>
  </si>
  <si>
    <t>1.Find the Name of employee with Emp ID E104 using VLOOKUP</t>
  </si>
  <si>
    <t>2. Find the Department of employee E103</t>
  </si>
  <si>
    <t>3. Find the Salary of employee E108</t>
  </si>
  <si>
    <t>4. Find the City of employee E105</t>
  </si>
  <si>
    <t>5. If Emp ID is entered in any cell, retrieve the Salary automatically</t>
  </si>
  <si>
    <t>6. If Emp ID is entered in any cell, retrieve the Department</t>
  </si>
  <si>
    <t>Table 2 – Student Data</t>
  </si>
  <si>
    <t>1. Find Maths marks of S103</t>
  </si>
  <si>
    <t>2. Find Science marks of S102</t>
  </si>
  <si>
    <t>3.Find English marks of S105</t>
  </si>
  <si>
    <t>4.If Student ID is entered in any cell, return the Name</t>
  </si>
  <si>
    <t>5.Retrieve Science marks dynamically using Student ID in any cell</t>
  </si>
  <si>
    <t>Table 3 – Product Data</t>
  </si>
  <si>
    <t>1. Find the Price of product P103 using LOOKUP.</t>
  </si>
  <si>
    <t>2.Find the Stock of P104.</t>
  </si>
  <si>
    <t>3.Retrieve Product Name of P101</t>
  </si>
  <si>
    <t>4.If Product ID is entered in any cell, return the Price.</t>
  </si>
  <si>
    <t>5.If Product ID is entered in any cell, return the Stock.</t>
  </si>
  <si>
    <t>1.Retrieve Course name for C103.</t>
  </si>
  <si>
    <t>2.Retrieve Fees for C104.</t>
  </si>
  <si>
    <t>3,If Course ID entered in any cell, display Name.</t>
  </si>
  <si>
    <t>4.If Course ID entered in any cell, display Fees.</t>
  </si>
  <si>
    <t>Table 4 – Student Course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</si>
</sst>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7" tint="-0.249977111117893"/>
      <name val="Aptos Narrow"/>
      <family val="2"/>
      <scheme val="minor"/>
    </font>
    <font>
      <sz val="16"/>
      <color theme="7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C93E-D7D2-4C1B-A480-6A98F358D9EE}">
  <dimension ref="A1:I92"/>
  <sheetViews>
    <sheetView tabSelected="1" workbookViewId="0">
      <selection activeCell="B15" sqref="B15"/>
    </sheetView>
  </sheetViews>
  <sheetFormatPr defaultRowHeight="15" x14ac:dyDescent="0.25"/>
  <cols>
    <col min="1" max="1" width="13.7109375" bestFit="1" customWidth="1"/>
    <col min="8" max="8" width="10.7109375" customWidth="1"/>
    <col min="9" max="9" width="13.7109375" bestFit="1" customWidth="1"/>
  </cols>
  <sheetData>
    <row r="1" spans="1:9" ht="24" x14ac:dyDescent="0.4">
      <c r="A1" s="4" t="s">
        <v>79</v>
      </c>
    </row>
    <row r="2" spans="1:9" ht="21" x14ac:dyDescent="0.35">
      <c r="A2" s="5"/>
    </row>
    <row r="3" spans="1:9" x14ac:dyDescent="0.25">
      <c r="A3" s="2" t="s">
        <v>0</v>
      </c>
      <c r="B3" s="2" t="s">
        <v>9</v>
      </c>
      <c r="C3" s="2" t="s">
        <v>18</v>
      </c>
      <c r="D3" s="2" t="s">
        <v>23</v>
      </c>
      <c r="E3" s="2" t="s">
        <v>24</v>
      </c>
    </row>
    <row r="4" spans="1:9" x14ac:dyDescent="0.25">
      <c r="A4" s="1" t="s">
        <v>1</v>
      </c>
      <c r="B4" s="1" t="s">
        <v>10</v>
      </c>
      <c r="C4" s="1" t="s">
        <v>19</v>
      </c>
      <c r="D4" s="1">
        <v>35000</v>
      </c>
      <c r="E4" s="1" t="s">
        <v>25</v>
      </c>
      <c r="H4" t="s">
        <v>80</v>
      </c>
    </row>
    <row r="5" spans="1:9" x14ac:dyDescent="0.25">
      <c r="A5" s="1" t="s">
        <v>2</v>
      </c>
      <c r="B5" s="1" t="s">
        <v>11</v>
      </c>
      <c r="C5" s="1" t="s">
        <v>20</v>
      </c>
      <c r="D5" s="1">
        <v>50000</v>
      </c>
      <c r="E5" s="1" t="s">
        <v>27</v>
      </c>
      <c r="H5" s="6" t="s">
        <v>0</v>
      </c>
      <c r="I5" s="6" t="s">
        <v>9</v>
      </c>
    </row>
    <row r="6" spans="1:9" x14ac:dyDescent="0.25">
      <c r="A6" s="1" t="s">
        <v>3</v>
      </c>
      <c r="B6" s="1" t="s">
        <v>12</v>
      </c>
      <c r="C6" s="1" t="s">
        <v>21</v>
      </c>
      <c r="D6" s="1">
        <v>45000</v>
      </c>
      <c r="E6" s="1" t="s">
        <v>26</v>
      </c>
      <c r="H6" s="1" t="s">
        <v>4</v>
      </c>
      <c r="I6" s="1" t="str">
        <f>VLOOKUP(H6,A3:E11,2,0)</f>
        <v>Priya</v>
      </c>
    </row>
    <row r="7" spans="1:9" x14ac:dyDescent="0.25">
      <c r="A7" s="1" t="s">
        <v>4</v>
      </c>
      <c r="B7" s="1" t="s">
        <v>13</v>
      </c>
      <c r="C7" s="1" t="s">
        <v>20</v>
      </c>
      <c r="D7" s="1">
        <v>52000</v>
      </c>
      <c r="E7" s="1" t="s">
        <v>28</v>
      </c>
    </row>
    <row r="8" spans="1:9" x14ac:dyDescent="0.25">
      <c r="A8" s="1" t="s">
        <v>5</v>
      </c>
      <c r="B8" s="1" t="s">
        <v>14</v>
      </c>
      <c r="C8" s="1" t="s">
        <v>22</v>
      </c>
      <c r="D8" s="1">
        <v>40000</v>
      </c>
      <c r="E8" s="1" t="s">
        <v>29</v>
      </c>
      <c r="H8" t="s">
        <v>81</v>
      </c>
    </row>
    <row r="9" spans="1:9" x14ac:dyDescent="0.25">
      <c r="A9" s="1" t="s">
        <v>6</v>
      </c>
      <c r="B9" s="1" t="s">
        <v>15</v>
      </c>
      <c r="C9" s="1" t="s">
        <v>19</v>
      </c>
      <c r="D9" s="1">
        <v>36000</v>
      </c>
      <c r="E9" s="1" t="s">
        <v>25</v>
      </c>
      <c r="H9" s="6" t="s">
        <v>0</v>
      </c>
      <c r="I9" s="6" t="s">
        <v>18</v>
      </c>
    </row>
    <row r="10" spans="1:9" x14ac:dyDescent="0.25">
      <c r="A10" s="1" t="s">
        <v>7</v>
      </c>
      <c r="B10" s="1" t="s">
        <v>16</v>
      </c>
      <c r="C10" s="1" t="s">
        <v>21</v>
      </c>
      <c r="D10" s="1">
        <v>47000</v>
      </c>
      <c r="E10" s="1" t="s">
        <v>27</v>
      </c>
      <c r="H10" s="1" t="s">
        <v>3</v>
      </c>
      <c r="I10" s="1" t="str">
        <f>VLOOKUP(H10,A3:E11,3,0)</f>
        <v>Finance</v>
      </c>
    </row>
    <row r="11" spans="1:9" x14ac:dyDescent="0.25">
      <c r="A11" s="1" t="s">
        <v>8</v>
      </c>
      <c r="B11" s="1" t="s">
        <v>17</v>
      </c>
      <c r="C11" s="1" t="s">
        <v>22</v>
      </c>
      <c r="D11" s="1">
        <v>42000</v>
      </c>
      <c r="E11" s="1" t="s">
        <v>30</v>
      </c>
    </row>
    <row r="12" spans="1:9" x14ac:dyDescent="0.25">
      <c r="H12" t="s">
        <v>82</v>
      </c>
    </row>
    <row r="13" spans="1:9" x14ac:dyDescent="0.25">
      <c r="H13" s="6" t="s">
        <v>0</v>
      </c>
      <c r="I13" s="6" t="s">
        <v>23</v>
      </c>
    </row>
    <row r="14" spans="1:9" x14ac:dyDescent="0.25">
      <c r="H14" s="1" t="s">
        <v>8</v>
      </c>
      <c r="I14" s="1">
        <f>VLOOKUP(H14,A3:E11,4,0)</f>
        <v>42000</v>
      </c>
    </row>
    <row r="16" spans="1:9" x14ac:dyDescent="0.25">
      <c r="H16" t="s">
        <v>83</v>
      </c>
    </row>
    <row r="17" spans="1:9" x14ac:dyDescent="0.25">
      <c r="H17" s="6" t="s">
        <v>0</v>
      </c>
      <c r="I17" s="6" t="s">
        <v>24</v>
      </c>
    </row>
    <row r="18" spans="1:9" x14ac:dyDescent="0.25">
      <c r="H18" s="1" t="s">
        <v>5</v>
      </c>
      <c r="I18" s="1" t="str">
        <f>VLOOKUP(H18,A3:E11,5,0)</f>
        <v>Pune</v>
      </c>
    </row>
    <row r="20" spans="1:9" x14ac:dyDescent="0.25">
      <c r="H20" t="s">
        <v>84</v>
      </c>
    </row>
    <row r="21" spans="1:9" x14ac:dyDescent="0.25">
      <c r="H21" s="6" t="s">
        <v>0</v>
      </c>
      <c r="I21" s="6" t="s">
        <v>23</v>
      </c>
    </row>
    <row r="22" spans="1:9" x14ac:dyDescent="0.25">
      <c r="H22" s="1" t="s">
        <v>2</v>
      </c>
      <c r="I22" s="1">
        <f>VLOOKUP(H22,A3:E11,4,0)</f>
        <v>50000</v>
      </c>
    </row>
    <row r="24" spans="1:9" x14ac:dyDescent="0.25">
      <c r="H24" t="s">
        <v>85</v>
      </c>
    </row>
    <row r="25" spans="1:9" x14ac:dyDescent="0.25">
      <c r="H25" s="6" t="s">
        <v>0</v>
      </c>
      <c r="I25" s="6" t="s">
        <v>18</v>
      </c>
    </row>
    <row r="26" spans="1:9" x14ac:dyDescent="0.25">
      <c r="H26" s="1" t="s">
        <v>5</v>
      </c>
      <c r="I26" s="1" t="str">
        <f>VLOOKUP(H26,A3:E11,3,0)</f>
        <v>Marketing</v>
      </c>
    </row>
    <row r="29" spans="1:9" ht="24" x14ac:dyDescent="0.4">
      <c r="A29" s="4" t="s">
        <v>86</v>
      </c>
    </row>
    <row r="31" spans="1:9" x14ac:dyDescent="0.25">
      <c r="A31" s="2" t="s">
        <v>31</v>
      </c>
      <c r="B31" s="2" t="s">
        <v>9</v>
      </c>
      <c r="C31" s="2" t="s">
        <v>32</v>
      </c>
      <c r="D31" s="2" t="s">
        <v>33</v>
      </c>
      <c r="E31" s="2" t="s">
        <v>34</v>
      </c>
      <c r="H31" t="s">
        <v>87</v>
      </c>
    </row>
    <row r="32" spans="1:9" x14ac:dyDescent="0.25">
      <c r="A32" s="1" t="s">
        <v>40</v>
      </c>
      <c r="B32" s="1" t="s">
        <v>35</v>
      </c>
      <c r="C32" s="1">
        <v>78</v>
      </c>
      <c r="D32" s="1">
        <v>82</v>
      </c>
      <c r="E32" s="1">
        <v>74</v>
      </c>
      <c r="H32" s="6" t="s">
        <v>31</v>
      </c>
      <c r="I32" s="6" t="s">
        <v>39</v>
      </c>
    </row>
    <row r="33" spans="1:9" x14ac:dyDescent="0.25">
      <c r="A33" s="1" t="s">
        <v>41</v>
      </c>
      <c r="B33" s="1" t="s">
        <v>36</v>
      </c>
      <c r="C33" s="1">
        <v>65</v>
      </c>
      <c r="D33" s="1">
        <v>70</v>
      </c>
      <c r="E33" s="1">
        <v>68</v>
      </c>
      <c r="H33" s="1" t="s">
        <v>42</v>
      </c>
      <c r="I33" s="1">
        <f>VLOOKUP(H33,A31:E36,3,0)</f>
        <v>88</v>
      </c>
    </row>
    <row r="34" spans="1:9" x14ac:dyDescent="0.25">
      <c r="A34" s="1" t="s">
        <v>42</v>
      </c>
      <c r="B34" s="1" t="s">
        <v>37</v>
      </c>
      <c r="C34" s="1">
        <v>88</v>
      </c>
      <c r="D34" s="1">
        <v>91</v>
      </c>
      <c r="E34" s="1">
        <v>85</v>
      </c>
    </row>
    <row r="35" spans="1:9" x14ac:dyDescent="0.25">
      <c r="A35" s="1" t="s">
        <v>43</v>
      </c>
      <c r="B35" s="1" t="s">
        <v>14</v>
      </c>
      <c r="C35" s="1">
        <v>72</v>
      </c>
      <c r="D35" s="1">
        <v>75</v>
      </c>
      <c r="E35" s="1">
        <v>70</v>
      </c>
      <c r="H35" t="s">
        <v>88</v>
      </c>
    </row>
    <row r="36" spans="1:9" x14ac:dyDescent="0.25">
      <c r="A36" s="1" t="s">
        <v>44</v>
      </c>
      <c r="B36" s="1" t="s">
        <v>38</v>
      </c>
      <c r="C36" s="1">
        <v>90</v>
      </c>
      <c r="D36" s="1">
        <v>93</v>
      </c>
      <c r="E36" s="1">
        <v>89</v>
      </c>
      <c r="H36" s="6" t="s">
        <v>31</v>
      </c>
      <c r="I36" s="6" t="s">
        <v>45</v>
      </c>
    </row>
    <row r="37" spans="1:9" x14ac:dyDescent="0.25">
      <c r="H37" s="1" t="s">
        <v>41</v>
      </c>
      <c r="I37" s="1">
        <f>VLOOKUP(H37,A31:E36,4,0)</f>
        <v>70</v>
      </c>
    </row>
    <row r="39" spans="1:9" x14ac:dyDescent="0.25">
      <c r="H39" t="s">
        <v>89</v>
      </c>
    </row>
    <row r="40" spans="1:9" x14ac:dyDescent="0.25">
      <c r="H40" s="6" t="s">
        <v>31</v>
      </c>
      <c r="I40" s="6" t="s">
        <v>46</v>
      </c>
    </row>
    <row r="41" spans="1:9" x14ac:dyDescent="0.25">
      <c r="H41" s="1" t="s">
        <v>44</v>
      </c>
      <c r="I41" s="1">
        <f>VLOOKUP(H41,A31:E36,5,0)</f>
        <v>89</v>
      </c>
    </row>
    <row r="43" spans="1:9" x14ac:dyDescent="0.25">
      <c r="H43" t="s">
        <v>90</v>
      </c>
    </row>
    <row r="44" spans="1:9" x14ac:dyDescent="0.25">
      <c r="H44" s="6" t="s">
        <v>31</v>
      </c>
      <c r="I44" s="6" t="s">
        <v>9</v>
      </c>
    </row>
    <row r="45" spans="1:9" x14ac:dyDescent="0.25">
      <c r="H45" s="1" t="s">
        <v>41</v>
      </c>
      <c r="I45" s="1" t="str">
        <f>VLOOKUP(H45,A31:E36,2,0)</f>
        <v>Ravi</v>
      </c>
    </row>
    <row r="47" spans="1:9" x14ac:dyDescent="0.25">
      <c r="H47" t="s">
        <v>91</v>
      </c>
    </row>
    <row r="48" spans="1:9" x14ac:dyDescent="0.25">
      <c r="H48" s="6" t="s">
        <v>31</v>
      </c>
      <c r="I48" s="6" t="s">
        <v>78</v>
      </c>
    </row>
    <row r="49" spans="1:9" x14ac:dyDescent="0.25">
      <c r="H49" s="1" t="s">
        <v>41</v>
      </c>
      <c r="I49" s="1">
        <f>VLOOKUP(H49,A31:E36,4,0)</f>
        <v>70</v>
      </c>
    </row>
    <row r="51" spans="1:9" ht="24" x14ac:dyDescent="0.4">
      <c r="A51" s="4" t="s">
        <v>92</v>
      </c>
    </row>
    <row r="53" spans="1:9" x14ac:dyDescent="0.25">
      <c r="A53" s="3" t="s">
        <v>47</v>
      </c>
      <c r="B53" s="3" t="s">
        <v>48</v>
      </c>
      <c r="C53" s="3" t="s">
        <v>49</v>
      </c>
      <c r="D53" s="3" t="s">
        <v>50</v>
      </c>
      <c r="E53" s="3" t="s">
        <v>51</v>
      </c>
      <c r="F53" s="3" t="s">
        <v>52</v>
      </c>
    </row>
    <row r="54" spans="1:9" x14ac:dyDescent="0.25">
      <c r="A54" s="1" t="s">
        <v>53</v>
      </c>
      <c r="B54" s="1" t="s">
        <v>54</v>
      </c>
      <c r="C54" s="1" t="s">
        <v>55</v>
      </c>
      <c r="D54" s="1" t="s">
        <v>56</v>
      </c>
      <c r="E54" s="1" t="s">
        <v>57</v>
      </c>
      <c r="F54" s="1" t="s">
        <v>58</v>
      </c>
      <c r="H54" t="s">
        <v>93</v>
      </c>
    </row>
    <row r="55" spans="1:9" x14ac:dyDescent="0.25">
      <c r="A55" s="1" t="s">
        <v>59</v>
      </c>
      <c r="B55" s="1">
        <v>55000</v>
      </c>
      <c r="C55" s="1">
        <v>500</v>
      </c>
      <c r="D55" s="1">
        <v>1200</v>
      </c>
      <c r="E55" s="1">
        <v>9000</v>
      </c>
      <c r="F55" s="1">
        <v>7000</v>
      </c>
      <c r="H55" s="6" t="s">
        <v>47</v>
      </c>
      <c r="I55" s="6" t="s">
        <v>59</v>
      </c>
    </row>
    <row r="56" spans="1:9" x14ac:dyDescent="0.25">
      <c r="A56" s="1" t="s">
        <v>60</v>
      </c>
      <c r="B56" s="1">
        <v>25</v>
      </c>
      <c r="C56" s="1">
        <v>150</v>
      </c>
      <c r="D56" s="1">
        <v>80</v>
      </c>
      <c r="E56" s="1">
        <v>40</v>
      </c>
      <c r="F56" s="1">
        <v>35</v>
      </c>
      <c r="H56" s="1" t="s">
        <v>50</v>
      </c>
      <c r="I56" s="1">
        <f>HLOOKUP(H56,A53:F56,3,0)</f>
        <v>1200</v>
      </c>
    </row>
    <row r="58" spans="1:9" x14ac:dyDescent="0.25">
      <c r="H58" t="s">
        <v>94</v>
      </c>
    </row>
    <row r="59" spans="1:9" x14ac:dyDescent="0.25">
      <c r="H59" s="6" t="s">
        <v>47</v>
      </c>
      <c r="I59" s="7" t="s">
        <v>60</v>
      </c>
    </row>
    <row r="60" spans="1:9" x14ac:dyDescent="0.25">
      <c r="H60" s="1" t="s">
        <v>51</v>
      </c>
      <c r="I60" s="1">
        <f>HLOOKUP(H60,A53:F56,4,0)</f>
        <v>40</v>
      </c>
    </row>
    <row r="62" spans="1:9" x14ac:dyDescent="0.25">
      <c r="H62" t="s">
        <v>95</v>
      </c>
    </row>
    <row r="63" spans="1:9" x14ac:dyDescent="0.25">
      <c r="H63" s="6" t="s">
        <v>47</v>
      </c>
      <c r="I63" s="6" t="s">
        <v>53</v>
      </c>
    </row>
    <row r="64" spans="1:9" x14ac:dyDescent="0.25">
      <c r="H64" s="1" t="s">
        <v>48</v>
      </c>
      <c r="I64" s="1" t="str">
        <f>HLOOKUP(H64,A53:F56,2,0)</f>
        <v>Laptop</v>
      </c>
    </row>
    <row r="66" spans="1:9" x14ac:dyDescent="0.25">
      <c r="H66" t="s">
        <v>96</v>
      </c>
    </row>
    <row r="67" spans="1:9" x14ac:dyDescent="0.25">
      <c r="H67" s="6" t="s">
        <v>47</v>
      </c>
      <c r="I67" s="6" t="s">
        <v>59</v>
      </c>
    </row>
    <row r="68" spans="1:9" x14ac:dyDescent="0.25">
      <c r="H68" s="1" t="s">
        <v>49</v>
      </c>
      <c r="I68" s="1">
        <f>HLOOKUP(H68,A53:F56,3,0)</f>
        <v>500</v>
      </c>
    </row>
    <row r="70" spans="1:9" x14ac:dyDescent="0.25">
      <c r="H70" t="s">
        <v>97</v>
      </c>
    </row>
    <row r="71" spans="1:9" x14ac:dyDescent="0.25">
      <c r="H71" s="6" t="s">
        <v>47</v>
      </c>
      <c r="I71" s="6" t="s">
        <v>60</v>
      </c>
    </row>
    <row r="72" spans="1:9" x14ac:dyDescent="0.25">
      <c r="H72" s="1" t="s">
        <v>50</v>
      </c>
      <c r="I72" s="1">
        <f>HLOOKUP(H72,A53:F56,4,0)</f>
        <v>80</v>
      </c>
    </row>
    <row r="75" spans="1:9" ht="24" x14ac:dyDescent="0.4">
      <c r="A75" s="4" t="s">
        <v>102</v>
      </c>
    </row>
    <row r="77" spans="1:9" x14ac:dyDescent="0.25">
      <c r="A77" s="2" t="s">
        <v>61</v>
      </c>
      <c r="B77" s="2" t="s">
        <v>9</v>
      </c>
      <c r="C77" s="2" t="s">
        <v>62</v>
      </c>
      <c r="D77" s="2" t="s">
        <v>63</v>
      </c>
    </row>
    <row r="78" spans="1:9" x14ac:dyDescent="0.25">
      <c r="A78" s="1" t="s">
        <v>64</v>
      </c>
      <c r="B78" s="1" t="s">
        <v>69</v>
      </c>
      <c r="C78" s="1" t="s">
        <v>73</v>
      </c>
      <c r="D78" s="1">
        <v>3000</v>
      </c>
      <c r="H78" t="s">
        <v>98</v>
      </c>
    </row>
    <row r="79" spans="1:9" x14ac:dyDescent="0.25">
      <c r="A79" s="1" t="s">
        <v>66</v>
      </c>
      <c r="B79" s="1" t="s">
        <v>70</v>
      </c>
      <c r="C79" s="1" t="s">
        <v>74</v>
      </c>
      <c r="D79" s="1">
        <v>5000</v>
      </c>
      <c r="H79" s="6" t="s">
        <v>61</v>
      </c>
      <c r="I79" s="6" t="s">
        <v>62</v>
      </c>
    </row>
    <row r="80" spans="1:9" x14ac:dyDescent="0.25">
      <c r="A80" s="1" t="s">
        <v>65</v>
      </c>
      <c r="B80" s="1" t="s">
        <v>71</v>
      </c>
      <c r="C80" s="1" t="s">
        <v>75</v>
      </c>
      <c r="D80" s="1">
        <v>4000</v>
      </c>
      <c r="H80" s="1" t="s">
        <v>65</v>
      </c>
      <c r="I80" s="1" t="str">
        <f>VLOOKUP(H80,A77:D82,3,0)</f>
        <v>SQL</v>
      </c>
    </row>
    <row r="81" spans="1:9" x14ac:dyDescent="0.25">
      <c r="A81" s="1" t="s">
        <v>67</v>
      </c>
      <c r="B81" s="1" t="s">
        <v>11</v>
      </c>
      <c r="C81" s="1" t="s">
        <v>76</v>
      </c>
      <c r="D81" s="1">
        <v>6000</v>
      </c>
    </row>
    <row r="82" spans="1:9" x14ac:dyDescent="0.25">
      <c r="A82" s="1" t="s">
        <v>68</v>
      </c>
      <c r="B82" s="1" t="s">
        <v>72</v>
      </c>
      <c r="C82" s="1" t="s">
        <v>77</v>
      </c>
      <c r="D82" s="1">
        <v>45000</v>
      </c>
      <c r="H82" t="s">
        <v>99</v>
      </c>
    </row>
    <row r="83" spans="1:9" x14ac:dyDescent="0.25">
      <c r="H83" s="6" t="s">
        <v>61</v>
      </c>
      <c r="I83" s="6" t="s">
        <v>63</v>
      </c>
    </row>
    <row r="84" spans="1:9" x14ac:dyDescent="0.25">
      <c r="H84" s="1" t="s">
        <v>67</v>
      </c>
      <c r="I84" s="1">
        <f>VLOOKUP(H84,A81:D86,4,0)</f>
        <v>6000</v>
      </c>
    </row>
    <row r="86" spans="1:9" x14ac:dyDescent="0.25">
      <c r="H86" t="s">
        <v>100</v>
      </c>
    </row>
    <row r="87" spans="1:9" x14ac:dyDescent="0.25">
      <c r="H87" s="6" t="s">
        <v>61</v>
      </c>
      <c r="I87" s="6" t="s">
        <v>9</v>
      </c>
    </row>
    <row r="88" spans="1:9" x14ac:dyDescent="0.25">
      <c r="H88" s="1" t="s">
        <v>66</v>
      </c>
      <c r="I88" s="1" t="str">
        <f>VLOOKUP(H88,A77:D82,2,0)</f>
        <v>Ananya</v>
      </c>
    </row>
    <row r="90" spans="1:9" x14ac:dyDescent="0.25">
      <c r="H90" t="s">
        <v>101</v>
      </c>
    </row>
    <row r="91" spans="1:9" x14ac:dyDescent="0.25">
      <c r="H91" s="6" t="s">
        <v>61</v>
      </c>
      <c r="I91" s="6" t="s">
        <v>9</v>
      </c>
    </row>
    <row r="92" spans="1:9" x14ac:dyDescent="0.25">
      <c r="H92" s="1" t="s">
        <v>66</v>
      </c>
      <c r="I92" s="1">
        <f>VLOOKUP(H92,A77:D82,4,0)</f>
        <v>5000</v>
      </c>
    </row>
  </sheetData>
  <phoneticPr fontId="2" type="noConversion"/>
  <dataValidations count="4">
    <dataValidation type="list" allowBlank="1" showInputMessage="1" showErrorMessage="1" sqref="H22 H26" xr:uid="{BB656A20-A35D-48DF-9FC7-68124A93580A}">
      <formula1>$A$4:$A$11</formula1>
    </dataValidation>
    <dataValidation type="list" allowBlank="1" showInputMessage="1" showErrorMessage="1" sqref="H45 H49:H51" xr:uid="{1B6A1DDF-DA3E-48E9-B8FD-95D7B5F42107}">
      <formula1>$A$32:$A$36</formula1>
    </dataValidation>
    <dataValidation type="list" allowBlank="1" showInputMessage="1" showErrorMessage="1" sqref="H68 H72" xr:uid="{82A8E4F5-8285-4A97-B965-2D4E17DF752F}">
      <formula1>$B$53:$F$53</formula1>
    </dataValidation>
    <dataValidation type="list" allowBlank="1" showInputMessage="1" showErrorMessage="1" sqref="H88 H92" xr:uid="{C368467C-1FD5-4660-9789-6CBE3850348E}">
      <formula1>$A$78:$A$82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VLOOKUP,HLOOKUP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2026-05-22T05:26:52Z</dcterms:created>
  <dcterms:modified xsi:type="dcterms:W3CDTF">2026-05-22T12:23:40Z</dcterms:modified>
</cp:coreProperties>
</file>