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ti\Downloads\"/>
    </mc:Choice>
  </mc:AlternateContent>
  <xr:revisionPtr revIDLastSave="0" documentId="13_ncr:1_{40F73CFB-7EFB-487E-89D3-8BF3A0349B73}" xr6:coauthVersionLast="47" xr6:coauthVersionMax="47" xr10:uidLastSave="{00000000-0000-0000-0000-000000000000}"/>
  <bookViews>
    <workbookView xWindow="-120" yWindow="-120" windowWidth="20730" windowHeight="11040" activeTab="1" xr2:uid="{D87C918B-6AA7-4E5F-AE18-9D2DFAFF60B6}"/>
  </bookViews>
  <sheets>
    <sheet name="Products" sheetId="1" r:id="rId1"/>
    <sheet name="Orders" sheetId="2" r:id="rId2"/>
    <sheet name="Monthly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5" i="2"/>
  <c r="M9" i="3"/>
  <c r="G6" i="2"/>
  <c r="G7" i="2"/>
  <c r="G8" i="2"/>
  <c r="G9" i="2"/>
  <c r="G10" i="2"/>
  <c r="F6" i="2"/>
  <c r="F7" i="2"/>
  <c r="F8" i="2"/>
  <c r="F9" i="2"/>
  <c r="F10" i="2"/>
  <c r="F5" i="2"/>
  <c r="G5" i="2" s="1"/>
</calcChain>
</file>

<file path=xl/sharedStrings.xml><?xml version="1.0" encoding="utf-8"?>
<sst xmlns="http://schemas.openxmlformats.org/spreadsheetml/2006/main" count="41" uniqueCount="30">
  <si>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</si>
  <si>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</si>
  <si>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</si>
  <si>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</si>
  <si>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</si>
  <si>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</si>
  <si>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</si>
  <si>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</si>
  <si>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</si>
  <si>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</si>
  <si>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</si>
  <si>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</si>
  <si>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</si>
  <si>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 xml:space="preserve">1. Use VLOOKUP to dynamically find the unit price for each ProductID in the Orders worksheet and calculate the total price. </t>
  </si>
  <si>
    <t xml:space="preserve">2. Use nested VLOOKUP to find the category of each product in the Orders worksheet. </t>
  </si>
  <si>
    <t>OrderID</t>
  </si>
  <si>
    <t>Quantity</t>
  </si>
  <si>
    <t xml:space="preserve">Advanced VLookUp </t>
  </si>
  <si>
    <t>Advanced HLOOKUP</t>
  </si>
  <si>
    <t>1. Use HLOOKUP to dynamically find the sales for Product B in a specified month.</t>
  </si>
  <si>
    <t>Jan</t>
  </si>
  <si>
    <t>Feb</t>
  </si>
  <si>
    <t>Mar</t>
  </si>
  <si>
    <t>Apr</t>
  </si>
  <si>
    <t>May</t>
  </si>
  <si>
    <t>1.UnitPrice</t>
  </si>
  <si>
    <t>1.TotalPrice</t>
  </si>
  <si>
    <t>2.Category</t>
  </si>
  <si>
    <t>Select the 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</si>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</sst>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4" tint="-0.249977111117893"/>
      <name val="Aptos Narrow"/>
      <family val="2"/>
      <scheme val="minor"/>
    </font>
    <font>
      <b/>
      <sz val="20"/>
      <color theme="3" tint="0.249977111117893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3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4" fillId="0" borderId="1" xfId="0" applyFont="1" applyBorder="1" applyAlignment="1">
      <alignment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459B-DBA5-471C-83F1-333A5CCB24BE}">
  <dimension ref="C3:J12"/>
  <sheetViews>
    <sheetView workbookViewId="0">
      <selection activeCell="C7" sqref="C7"/>
    </sheetView>
  </sheetViews>
  <sheetFormatPr defaultRowHeight="15"/>
  <sheetData>
    <row r="3" spans="3:10" ht="26.25">
      <c r="I3" s="1" t="s">
        <v>17</v>
      </c>
    </row>
    <row r="6" spans="3:10">
      <c r="C6" s="5" t="s">
        <v>0</v>
      </c>
      <c r="D6" s="5" t="s">
        <v>1</v>
      </c>
      <c r="E6" s="5" t="s">
        <v>2</v>
      </c>
      <c r="F6" s="5" t="s">
        <v>3</v>
      </c>
      <c r="J6" t="s">
        <v>13</v>
      </c>
    </row>
    <row r="7" spans="3:10">
      <c r="C7" s="2">
        <v>101</v>
      </c>
      <c r="D7" s="2" t="s">
        <v>4</v>
      </c>
      <c r="E7" s="2" t="s">
        <v>10</v>
      </c>
      <c r="F7" s="2">
        <v>120</v>
      </c>
      <c r="J7" t="s">
        <v>14</v>
      </c>
    </row>
    <row r="8" spans="3:10">
      <c r="C8" s="2">
        <v>102</v>
      </c>
      <c r="D8" s="2" t="s">
        <v>5</v>
      </c>
      <c r="E8" s="2" t="s">
        <v>11</v>
      </c>
      <c r="F8" s="2">
        <v>150</v>
      </c>
    </row>
    <row r="9" spans="3:10">
      <c r="C9" s="2">
        <v>103</v>
      </c>
      <c r="D9" s="2" t="s">
        <v>6</v>
      </c>
      <c r="E9" s="2" t="s">
        <v>10</v>
      </c>
      <c r="F9" s="2">
        <v>200</v>
      </c>
    </row>
    <row r="10" spans="3:10">
      <c r="C10" s="2">
        <v>104</v>
      </c>
      <c r="D10" s="2" t="s">
        <v>7</v>
      </c>
      <c r="E10" s="2" t="s">
        <v>12</v>
      </c>
      <c r="F10" s="2">
        <v>90</v>
      </c>
    </row>
    <row r="11" spans="3:10">
      <c r="C11" s="2">
        <v>105</v>
      </c>
      <c r="D11" s="2" t="s">
        <v>8</v>
      </c>
      <c r="E11" s="2" t="s">
        <v>11</v>
      </c>
      <c r="F11" s="2">
        <v>220</v>
      </c>
    </row>
    <row r="12" spans="3:10">
      <c r="C12" s="2">
        <v>106</v>
      </c>
      <c r="D12" s="2" t="s">
        <v>9</v>
      </c>
      <c r="E12" s="2" t="s">
        <v>10</v>
      </c>
      <c r="F12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7B3F-E988-4E82-B2CC-4B053284F339}">
  <dimension ref="C4:H10"/>
  <sheetViews>
    <sheetView tabSelected="1" workbookViewId="0">
      <selection activeCell="M4" sqref="M4"/>
    </sheetView>
  </sheetViews>
  <sheetFormatPr defaultRowHeight="15"/>
  <cols>
    <col min="6" max="6" width="9" bestFit="1" customWidth="1"/>
    <col min="7" max="7" width="9.85546875" bestFit="1" customWidth="1"/>
    <col min="8" max="8" width="10.7109375" bestFit="1" customWidth="1"/>
  </cols>
  <sheetData>
    <row r="4" spans="3:8">
      <c r="C4" s="4" t="s">
        <v>15</v>
      </c>
      <c r="D4" s="4" t="s">
        <v>0</v>
      </c>
      <c r="E4" s="4" t="s">
        <v>16</v>
      </c>
      <c r="F4" s="4" t="s">
        <v>25</v>
      </c>
      <c r="G4" s="4" t="s">
        <v>26</v>
      </c>
      <c r="H4" s="4" t="s">
        <v>27</v>
      </c>
    </row>
    <row r="5" spans="3:8">
      <c r="C5" s="2">
        <v>1</v>
      </c>
      <c r="D5" s="2">
        <v>101</v>
      </c>
      <c r="E5" s="2">
        <v>2</v>
      </c>
      <c r="F5" s="2">
        <f>VLOOKUP(Products!C7,Products!C6:F12,4,0)</f>
        <v>120</v>
      </c>
      <c r="G5" s="2">
        <f>F5*E5</f>
        <v>240</v>
      </c>
      <c r="H5" s="2" t="str">
        <f>VLOOKUP(VLOOKUP(D5,Products!$C$6:$D$12,2,0),Products!$D$6:$E$12,2,0)</f>
        <v>Electronics</v>
      </c>
    </row>
    <row r="6" spans="3:8">
      <c r="C6" s="2">
        <v>2</v>
      </c>
      <c r="D6" s="2">
        <v>103</v>
      </c>
      <c r="E6" s="2">
        <v>1</v>
      </c>
      <c r="F6" s="2">
        <f>VLOOKUP(Products!C8,Products!C7:F13,4,0)</f>
        <v>150</v>
      </c>
      <c r="G6" s="2">
        <f t="shared" ref="G6:G10" si="0">F6*E6</f>
        <v>150</v>
      </c>
      <c r="H6" s="2" t="str">
        <f>VLOOKUP(VLOOKUP(D6,Products!$C$6:$D$12,2,0),Products!$D$6:$E$12,2,0)</f>
        <v>Electronics</v>
      </c>
    </row>
    <row r="7" spans="3:8">
      <c r="C7" s="2">
        <v>3</v>
      </c>
      <c r="D7" s="2">
        <v>105</v>
      </c>
      <c r="E7" s="2">
        <v>4</v>
      </c>
      <c r="F7" s="2">
        <f>VLOOKUP(Products!C9,Products!C8:F14,4,0)</f>
        <v>200</v>
      </c>
      <c r="G7" s="2">
        <f t="shared" si="0"/>
        <v>800</v>
      </c>
      <c r="H7" s="2" t="str">
        <f>VLOOKUP(VLOOKUP(D7,Products!$C$6:$D$12,2,0),Products!$D$6:$E$12,2,0)</f>
        <v>Furniture</v>
      </c>
    </row>
    <row r="8" spans="3:8">
      <c r="C8" s="2">
        <v>4</v>
      </c>
      <c r="D8" s="2">
        <v>106</v>
      </c>
      <c r="E8" s="2">
        <v>3</v>
      </c>
      <c r="F8" s="2">
        <f>VLOOKUP(Products!C10,Products!C9:F15,4,0)</f>
        <v>90</v>
      </c>
      <c r="G8" s="2">
        <f t="shared" si="0"/>
        <v>270</v>
      </c>
      <c r="H8" s="2" t="str">
        <f>VLOOKUP(VLOOKUP(D8,Products!$C$6:$D$12,2,0),Products!$D$6:$E$12,2,0)</f>
        <v>Electronics</v>
      </c>
    </row>
    <row r="9" spans="3:8">
      <c r="C9" s="2">
        <v>5</v>
      </c>
      <c r="D9" s="2">
        <v>102</v>
      </c>
      <c r="E9" s="2">
        <v>5</v>
      </c>
      <c r="F9" s="2">
        <f>VLOOKUP(Products!C11,Products!C10:F16,4,0)</f>
        <v>220</v>
      </c>
      <c r="G9" s="2">
        <f t="shared" si="0"/>
        <v>1100</v>
      </c>
      <c r="H9" s="2" t="str">
        <f>VLOOKUP(VLOOKUP(D9,Products!$C$6:$D$12,2,0),Products!$D$6:$E$12,2,0)</f>
        <v>Furniture</v>
      </c>
    </row>
    <row r="10" spans="3:8">
      <c r="C10" s="2">
        <v>6</v>
      </c>
      <c r="D10" s="2">
        <v>104</v>
      </c>
      <c r="E10" s="2">
        <v>6</v>
      </c>
      <c r="F10" s="2">
        <f>VLOOKUP(Products!C12,Products!C11:F17,4,0)</f>
        <v>130</v>
      </c>
      <c r="G10" s="2">
        <f t="shared" si="0"/>
        <v>780</v>
      </c>
      <c r="H10" s="2" t="str">
        <f>VLOOKUP(VLOOKUP(D10,Products!$C$6:$D$12,2,0),Products!$D$6:$E$12,2,0)</f>
        <v>Clothing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9CFD-5CBC-4AB8-825D-D2C1C14C95CB}">
  <dimension ref="D2:M12"/>
  <sheetViews>
    <sheetView topLeftCell="A2" workbookViewId="0">
      <selection activeCell="L9" sqref="L9"/>
    </sheetView>
  </sheetViews>
  <sheetFormatPr defaultRowHeight="15"/>
  <cols>
    <col min="12" max="12" width="15.140625" customWidth="1"/>
  </cols>
  <sheetData>
    <row r="2" spans="4:13" ht="26.25">
      <c r="I2" s="3" t="s">
        <v>18</v>
      </c>
    </row>
    <row r="6" spans="4:13">
      <c r="D6" s="4"/>
      <c r="E6" s="4" t="s">
        <v>20</v>
      </c>
      <c r="F6" s="4" t="s">
        <v>21</v>
      </c>
      <c r="G6" s="4" t="s">
        <v>22</v>
      </c>
      <c r="H6" s="4" t="s">
        <v>23</v>
      </c>
      <c r="I6" s="4" t="s">
        <v>24</v>
      </c>
      <c r="L6" t="s">
        <v>19</v>
      </c>
    </row>
    <row r="7" spans="4:13">
      <c r="D7" s="2" t="s">
        <v>4</v>
      </c>
      <c r="E7" s="2">
        <v>120</v>
      </c>
      <c r="F7" s="2">
        <v>130</v>
      </c>
      <c r="G7" s="2">
        <v>140</v>
      </c>
      <c r="H7" s="2">
        <v>150</v>
      </c>
      <c r="I7" s="2">
        <v>160</v>
      </c>
    </row>
    <row r="8" spans="4:13">
      <c r="D8" s="2" t="s">
        <v>5</v>
      </c>
      <c r="E8" s="2">
        <v>150</v>
      </c>
      <c r="F8" s="2">
        <v>160</v>
      </c>
      <c r="G8" s="2">
        <v>170</v>
      </c>
      <c r="H8" s="2">
        <v>180</v>
      </c>
      <c r="I8" s="2">
        <v>190</v>
      </c>
      <c r="L8" s="7" t="s">
        <v>28</v>
      </c>
      <c r="M8" s="7" t="s">
        <v>29</v>
      </c>
    </row>
    <row r="9" spans="4:13">
      <c r="D9" s="2" t="s">
        <v>6</v>
      </c>
      <c r="E9" s="2">
        <v>200</v>
      </c>
      <c r="F9" s="2">
        <v>210</v>
      </c>
      <c r="G9" s="2">
        <v>220</v>
      </c>
      <c r="H9" s="2">
        <v>230</v>
      </c>
      <c r="I9" s="2">
        <v>240</v>
      </c>
      <c r="L9" s="2" t="s">
        <v>22</v>
      </c>
      <c r="M9" s="6">
        <f>HLOOKUP(L9,D6:I12,3,FALSE)</f>
        <v>170</v>
      </c>
    </row>
    <row r="10" spans="4:13">
      <c r="D10" s="2" t="s">
        <v>7</v>
      </c>
      <c r="E10" s="2">
        <v>90</v>
      </c>
      <c r="F10" s="2">
        <v>100</v>
      </c>
      <c r="G10" s="2">
        <v>110</v>
      </c>
      <c r="H10" s="2">
        <v>120</v>
      </c>
      <c r="I10" s="2">
        <v>130</v>
      </c>
    </row>
    <row r="11" spans="4:13">
      <c r="D11" s="2" t="s">
        <v>8</v>
      </c>
      <c r="E11" s="2">
        <v>220</v>
      </c>
      <c r="F11" s="2">
        <v>230</v>
      </c>
      <c r="G11" s="2">
        <v>240</v>
      </c>
      <c r="H11" s="2">
        <v>250</v>
      </c>
      <c r="I11" s="2">
        <v>260</v>
      </c>
    </row>
    <row r="12" spans="4:13">
      <c r="D12" s="2" t="s">
        <v>9</v>
      </c>
      <c r="E12" s="2">
        <v>130</v>
      </c>
      <c r="F12" s="2">
        <v>140</v>
      </c>
      <c r="G12" s="2">
        <v>150</v>
      </c>
      <c r="H12" s="2">
        <v>160</v>
      </c>
      <c r="I12" s="2">
        <v>170</v>
      </c>
    </row>
  </sheetData>
  <dataValidations count="1">
    <dataValidation type="list" allowBlank="1" showInputMessage="1" showErrorMessage="1" sqref="L9" xr:uid="{BC9B03EC-99ED-4484-823A-B45AFD9A3105}">
      <formula1>$E$6:$I$6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Rittika Ghosh</dc:creator>
  <cp:lastModifiedBy>Rittika Ghosh</cp:lastModifiedBy>
  <dcterms:created xsi:type="dcterms:W3CDTF">2026-05-23T11:06:12Z</dcterms:created>
  <dcterms:modified xsi:type="dcterms:W3CDTF">2026-05-25T15:37:41Z</dcterms:modified>
</cp:coreProperties>
</file>