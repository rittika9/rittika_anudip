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ti\Downloads\"/>
    </mc:Choice>
  </mc:AlternateContent>
  <xr:revisionPtr revIDLastSave="0" documentId="13_ncr:1_{E2A9360D-CEC0-4690-8E6C-78FE6354438E}" xr6:coauthVersionLast="47" xr6:coauthVersionMax="47" xr10:uidLastSave="{00000000-0000-0000-0000-000000000000}"/>
  <bookViews>
    <workbookView xWindow="-120" yWindow="-120" windowWidth="20730" windowHeight="11040" activeTab="1" xr2:uid="{0B980C79-95A0-4CC1-9E81-6461778C580D}"/>
  </bookViews>
  <sheets>
    <sheet name="Product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9" i="2" l="1"/>
  <c r="H70" i="2"/>
  <c r="H71" i="2"/>
  <c r="H72" i="2"/>
  <c r="H73" i="2"/>
  <c r="H68" i="2"/>
  <c r="G85" i="2"/>
  <c r="G86" i="2"/>
  <c r="G84" i="2"/>
  <c r="G98" i="2"/>
  <c r="H94" i="2"/>
  <c r="H95" i="2"/>
  <c r="H96" i="2"/>
  <c r="H97" i="2"/>
  <c r="H98" i="2"/>
  <c r="H93" i="2"/>
  <c r="G93" i="2"/>
  <c r="G94" i="2"/>
  <c r="G95" i="2"/>
  <c r="G96" i="2"/>
  <c r="G97" i="2"/>
  <c r="G20" i="2"/>
  <c r="G19" i="2"/>
  <c r="G80" i="2"/>
  <c r="G81" i="2"/>
  <c r="G82" i="2"/>
  <c r="G83" i="2"/>
  <c r="G79" i="2"/>
  <c r="G69" i="2"/>
  <c r="G70" i="2"/>
  <c r="G71" i="2"/>
  <c r="G72" i="2"/>
  <c r="G73" i="2"/>
  <c r="G68" i="2"/>
  <c r="G57" i="2"/>
  <c r="H57" i="2" s="1"/>
  <c r="G58" i="2"/>
  <c r="H58" i="2" s="1"/>
  <c r="G59" i="2"/>
  <c r="H59" i="2" s="1"/>
  <c r="G60" i="2"/>
  <c r="H60" i="2" s="1"/>
  <c r="G61" i="2"/>
  <c r="H61" i="2" s="1"/>
  <c r="G56" i="2"/>
  <c r="H56" i="2" s="1"/>
  <c r="G43" i="2"/>
  <c r="G44" i="2"/>
  <c r="G45" i="2"/>
  <c r="G46" i="2"/>
  <c r="G47" i="2"/>
  <c r="G48" i="2"/>
  <c r="G49" i="2"/>
  <c r="G32" i="2"/>
  <c r="H32" i="2" s="1"/>
  <c r="G33" i="2"/>
  <c r="H33" i="2" s="1"/>
  <c r="G34" i="2"/>
  <c r="H34" i="2" s="1"/>
  <c r="G35" i="2"/>
  <c r="H35" i="2" s="1"/>
  <c r="G36" i="2"/>
  <c r="H36" i="2" s="1"/>
  <c r="G31" i="2"/>
  <c r="H31" i="2" s="1"/>
  <c r="G21" i="2"/>
  <c r="G22" i="2"/>
  <c r="G23" i="2"/>
  <c r="G24" i="2"/>
</calcChain>
</file>

<file path=xl/sharedStrings.xml><?xml version="1.0" encoding="utf-8"?>
<sst xmlns="http://schemas.openxmlformats.org/spreadsheetml/2006/main" count="47" uniqueCount="35">
  <si>
    <t>ProductID</t>
  </si>
  <si>
    <t xml:space="preserve">VLookUp </t>
  </si>
  <si>
    <t>Product</t>
  </si>
  <si>
    <t>Price</t>
  </si>
  <si>
    <t>PRODUCT A</t>
  </si>
  <si>
    <t>PRODUCT B</t>
  </si>
  <si>
    <t>PRODUCT C</t>
  </si>
  <si>
    <t>PRODUCT D</t>
  </si>
  <si>
    <t>PRODUCT E</t>
  </si>
  <si>
    <t>Worksheet 1: Products</t>
  </si>
  <si>
    <t>Worksheet 2: Orders</t>
  </si>
  <si>
    <t>OrderID</t>
  </si>
  <si>
    <t>Quantity</t>
  </si>
  <si>
    <t>TotalPrice</t>
  </si>
  <si>
    <t xml:space="preserve">1. Use VLOOKUP to find the product names for each ProductID in the Orders worksheet. </t>
  </si>
  <si>
    <t>PRODUCT F</t>
  </si>
  <si>
    <t>PRODUCT G</t>
  </si>
  <si>
    <t>3. Use VLOOKUP to check if there are any ProductIDs in the Orders worksheet that do not exist in the Products worksheet.</t>
  </si>
  <si>
    <t xml:space="preserve">4. Assume a discount of 10% is given on all products. Use VLOOKUP to find the original price and then calculate the discounted price. </t>
  </si>
  <si>
    <t xml:space="preserve">5. Use VLOOKUP to find the price for each ProductID and then calculate the order value. Find the maximum order value from the list. </t>
  </si>
  <si>
    <t xml:space="preserve">6. Use VLOOKUP to find out which products from the Products worksheet have not been ordered. </t>
  </si>
  <si>
    <t>2. Use VLOOKUP to find the price for each ProductID in the Orders worksheet, then calculate the TotalPrice by multiplying the Quantity by the Product Price.</t>
  </si>
  <si>
    <t>7. Use VLOOKUP to find the Product name and summarize the total quantity sold for each product.</t>
  </si>
  <si>
    <t>1.Product</t>
  </si>
  <si>
    <t>2.Price</t>
  </si>
  <si>
    <t>2.TotalPrice</t>
  </si>
  <si>
    <t>3.Product exists or not</t>
  </si>
  <si>
    <t>4.Discounted Price</t>
  </si>
  <si>
    <t>4.Original Price</t>
  </si>
  <si>
    <t>5.order value</t>
  </si>
  <si>
    <t>5.price</t>
  </si>
  <si>
    <t>6.order or not</t>
  </si>
  <si>
    <t xml:space="preserve"> To Check 3 No.qsn</t>
  </si>
  <si>
    <t>Product Name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</si>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</sst>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20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95DA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2" fillId="0" borderId="0" xfId="0" applyFont="1"/>
    <xf numFmtId="0" fontId="3" fillId="0" borderId="0" xfId="0" applyFont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 applyBorder="1"/>
  </cellXfs>
  <cellStyles count="1">
    <cellStyle name="Normal" xfId="0" builtinId="0"/>
  </cellStyles>
  <dxfs count="2">
    <dxf>
      <font>
        <b val="0"/>
        <i/>
        <color rgb="FFFF0000"/>
      </font>
    </dxf>
    <dxf>
      <font>
        <b val="0"/>
        <i/>
        <color rgb="FFFF0000"/>
      </font>
    </dxf>
  </dxfs>
  <tableStyles count="0" defaultTableStyle="TableStyleMedium2" defaultPivotStyle="PivotStyleLight16"/>
  <colors>
    <mruColors>
      <color rgb="FF595D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9F631-6266-433C-B892-3EFB34A9CEEB}">
  <dimension ref="B2:M13"/>
  <sheetViews>
    <sheetView topLeftCell="A3" workbookViewId="0">
      <selection activeCell="V14" sqref="V14"/>
    </sheetView>
  </sheetViews>
  <sheetFormatPr defaultRowHeight="15" x14ac:dyDescent="0.25"/>
  <cols>
    <col min="3" max="3" width="11.140625" bestFit="1" customWidth="1"/>
  </cols>
  <sheetData>
    <row r="2" spans="2:13" ht="26.25" x14ac:dyDescent="0.4">
      <c r="J2" s="7" t="s">
        <v>1</v>
      </c>
      <c r="K2" s="6"/>
    </row>
    <row r="5" spans="2:13" x14ac:dyDescent="0.25">
      <c r="B5" s="1" t="s">
        <v>9</v>
      </c>
      <c r="F5" s="1" t="s">
        <v>10</v>
      </c>
      <c r="M5" t="s">
        <v>14</v>
      </c>
    </row>
    <row r="6" spans="2:13" x14ac:dyDescent="0.25">
      <c r="M6" t="s">
        <v>21</v>
      </c>
    </row>
    <row r="7" spans="2:13" x14ac:dyDescent="0.25">
      <c r="B7" s="2" t="s">
        <v>0</v>
      </c>
      <c r="C7" s="2" t="s">
        <v>2</v>
      </c>
      <c r="D7" s="2" t="s">
        <v>3</v>
      </c>
      <c r="F7" s="2" t="s">
        <v>11</v>
      </c>
      <c r="G7" s="2" t="s">
        <v>0</v>
      </c>
      <c r="H7" s="2" t="s">
        <v>12</v>
      </c>
      <c r="I7" s="2" t="s">
        <v>13</v>
      </c>
      <c r="M7" t="s">
        <v>17</v>
      </c>
    </row>
    <row r="8" spans="2:13" x14ac:dyDescent="0.25">
      <c r="B8" s="3">
        <v>101</v>
      </c>
      <c r="C8" s="3" t="s">
        <v>4</v>
      </c>
      <c r="D8" s="3">
        <v>120</v>
      </c>
      <c r="F8" s="3">
        <v>1</v>
      </c>
      <c r="G8" s="3">
        <v>101</v>
      </c>
      <c r="H8" s="3">
        <v>2</v>
      </c>
      <c r="I8" s="3"/>
      <c r="M8" t="s">
        <v>18</v>
      </c>
    </row>
    <row r="9" spans="2:13" x14ac:dyDescent="0.25">
      <c r="B9" s="3">
        <v>102</v>
      </c>
      <c r="C9" s="3" t="s">
        <v>5</v>
      </c>
      <c r="D9" s="3">
        <v>150</v>
      </c>
      <c r="F9" s="3">
        <v>2</v>
      </c>
      <c r="G9" s="3">
        <v>103</v>
      </c>
      <c r="H9" s="3">
        <v>1</v>
      </c>
      <c r="I9" s="3"/>
      <c r="M9" t="s">
        <v>19</v>
      </c>
    </row>
    <row r="10" spans="2:13" x14ac:dyDescent="0.25">
      <c r="B10" s="3">
        <v>103</v>
      </c>
      <c r="C10" s="3" t="s">
        <v>6</v>
      </c>
      <c r="D10" s="3">
        <v>200</v>
      </c>
      <c r="F10" s="3">
        <v>3</v>
      </c>
      <c r="G10" s="3">
        <v>105</v>
      </c>
      <c r="H10" s="3">
        <v>4</v>
      </c>
      <c r="I10" s="3"/>
      <c r="M10" t="s">
        <v>20</v>
      </c>
    </row>
    <row r="11" spans="2:13" x14ac:dyDescent="0.25">
      <c r="B11" s="3">
        <v>104</v>
      </c>
      <c r="C11" s="3" t="s">
        <v>7</v>
      </c>
      <c r="D11" s="3">
        <v>90</v>
      </c>
      <c r="F11" s="3">
        <v>4</v>
      </c>
      <c r="G11" s="3">
        <v>106</v>
      </c>
      <c r="H11" s="3">
        <v>3</v>
      </c>
      <c r="I11" s="3"/>
      <c r="M11" t="s">
        <v>22</v>
      </c>
    </row>
    <row r="12" spans="2:13" x14ac:dyDescent="0.25">
      <c r="B12" s="3">
        <v>105</v>
      </c>
      <c r="C12" s="3" t="s">
        <v>8</v>
      </c>
      <c r="D12" s="3">
        <v>220</v>
      </c>
      <c r="F12" s="3">
        <v>5</v>
      </c>
      <c r="G12" s="3">
        <v>102</v>
      </c>
      <c r="H12" s="3">
        <v>5</v>
      </c>
      <c r="I12" s="3"/>
    </row>
    <row r="13" spans="2:13" x14ac:dyDescent="0.25">
      <c r="B13" s="3">
        <v>106</v>
      </c>
      <c r="C13" s="3" t="s">
        <v>15</v>
      </c>
      <c r="D13" s="3">
        <v>130</v>
      </c>
      <c r="F13" s="3">
        <v>6</v>
      </c>
      <c r="G13" s="3">
        <v>104</v>
      </c>
      <c r="H13" s="3">
        <v>6</v>
      </c>
      <c r="I1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6BB52-87C0-4571-97B5-6FB6C19AA6C8}">
  <dimension ref="B4:I98"/>
  <sheetViews>
    <sheetView tabSelected="1" topLeftCell="A81" workbookViewId="0">
      <selection activeCell="H93" sqref="H93"/>
    </sheetView>
  </sheetViews>
  <sheetFormatPr defaultRowHeight="15" x14ac:dyDescent="0.25"/>
  <cols>
    <col min="2" max="2" width="18" customWidth="1"/>
    <col min="5" max="5" width="8.7109375" bestFit="1" customWidth="1"/>
    <col min="6" max="6" width="14.7109375" customWidth="1"/>
    <col min="7" max="7" width="21.140625" customWidth="1"/>
    <col min="8" max="8" width="17.7109375" bestFit="1" customWidth="1"/>
    <col min="9" max="9" width="21" bestFit="1" customWidth="1"/>
    <col min="10" max="10" width="12.85546875" bestFit="1" customWidth="1"/>
    <col min="11" max="11" width="17.7109375" bestFit="1" customWidth="1"/>
    <col min="12" max="12" width="8.140625" customWidth="1"/>
    <col min="13" max="13" width="12.7109375" bestFit="1" customWidth="1"/>
    <col min="14" max="14" width="13.28515625" bestFit="1" customWidth="1"/>
  </cols>
  <sheetData>
    <row r="4" spans="2:7" x14ac:dyDescent="0.25">
      <c r="C4" s="4" t="s">
        <v>11</v>
      </c>
      <c r="D4" s="4" t="s">
        <v>0</v>
      </c>
      <c r="E4" s="4" t="s">
        <v>12</v>
      </c>
    </row>
    <row r="5" spans="2:7" x14ac:dyDescent="0.25">
      <c r="C5" s="3">
        <v>1</v>
      </c>
      <c r="D5" s="3">
        <v>101</v>
      </c>
      <c r="E5" s="3">
        <v>2</v>
      </c>
    </row>
    <row r="6" spans="2:7" x14ac:dyDescent="0.25">
      <c r="C6" s="3">
        <v>2</v>
      </c>
      <c r="D6" s="3">
        <v>103</v>
      </c>
      <c r="E6" s="3">
        <v>1</v>
      </c>
    </row>
    <row r="7" spans="2:7" x14ac:dyDescent="0.25">
      <c r="C7" s="3">
        <v>3</v>
      </c>
      <c r="D7" s="3">
        <v>105</v>
      </c>
      <c r="E7" s="3">
        <v>4</v>
      </c>
    </row>
    <row r="8" spans="2:7" x14ac:dyDescent="0.25">
      <c r="C8" s="3">
        <v>4</v>
      </c>
      <c r="D8" s="3">
        <v>106</v>
      </c>
      <c r="E8" s="3">
        <v>3</v>
      </c>
    </row>
    <row r="9" spans="2:7" x14ac:dyDescent="0.25">
      <c r="C9" s="3">
        <v>5</v>
      </c>
      <c r="D9" s="3">
        <v>102</v>
      </c>
      <c r="E9" s="3">
        <v>5</v>
      </c>
    </row>
    <row r="10" spans="2:7" x14ac:dyDescent="0.25">
      <c r="C10" s="3">
        <v>6</v>
      </c>
      <c r="D10" s="3">
        <v>104</v>
      </c>
      <c r="E10" s="3">
        <v>6</v>
      </c>
    </row>
    <row r="11" spans="2:7" x14ac:dyDescent="0.25">
      <c r="B11" t="s">
        <v>32</v>
      </c>
      <c r="C11" s="9">
        <v>7</v>
      </c>
      <c r="D11" s="9">
        <v>107</v>
      </c>
      <c r="E11" s="9">
        <v>7</v>
      </c>
    </row>
    <row r="16" spans="2:7" x14ac:dyDescent="0.25">
      <c r="G16" t="s">
        <v>14</v>
      </c>
    </row>
    <row r="18" spans="6:8" x14ac:dyDescent="0.25">
      <c r="G18" s="5" t="s">
        <v>23</v>
      </c>
    </row>
    <row r="19" spans="6:8" x14ac:dyDescent="0.25">
      <c r="G19" s="3" t="str">
        <f>VLOOKUP(D5,Products!$B$7:$D$13,2,0)</f>
        <v>PRODUCT A</v>
      </c>
    </row>
    <row r="20" spans="6:8" x14ac:dyDescent="0.25">
      <c r="G20" s="3" t="str">
        <f>VLOOKUP(D6,Products!$B$7:$D$13,2,0)</f>
        <v>PRODUCT C</v>
      </c>
    </row>
    <row r="21" spans="6:8" x14ac:dyDescent="0.25">
      <c r="G21" s="3" t="str">
        <f>VLOOKUP(D7,Products!$B$7:$D$13,2,0)</f>
        <v>PRODUCT E</v>
      </c>
    </row>
    <row r="22" spans="6:8" x14ac:dyDescent="0.25">
      <c r="G22" s="3" t="str">
        <f>VLOOKUP(D8,Products!$B$7:$D$13,2,0)</f>
        <v>PRODUCT F</v>
      </c>
    </row>
    <row r="23" spans="6:8" x14ac:dyDescent="0.25">
      <c r="G23" s="3" t="str">
        <f>VLOOKUP(D9,Products!$B$7:$D$13,2,0)</f>
        <v>PRODUCT B</v>
      </c>
    </row>
    <row r="24" spans="6:8" x14ac:dyDescent="0.25">
      <c r="G24" s="3" t="str">
        <f>VLOOKUP(D10,Products!$B$7:$D$13,2,0)</f>
        <v>PRODUCT D</v>
      </c>
    </row>
    <row r="25" spans="6:8" x14ac:dyDescent="0.25">
      <c r="F25" t="s">
        <v>32</v>
      </c>
      <c r="G25" s="9" t="s">
        <v>16</v>
      </c>
    </row>
    <row r="28" spans="6:8" x14ac:dyDescent="0.25">
      <c r="G28" t="s">
        <v>21</v>
      </c>
    </row>
    <row r="30" spans="6:8" x14ac:dyDescent="0.25">
      <c r="G30" s="5" t="s">
        <v>24</v>
      </c>
      <c r="H30" s="5" t="s">
        <v>25</v>
      </c>
    </row>
    <row r="31" spans="6:8" x14ac:dyDescent="0.25">
      <c r="G31" s="3">
        <f>VLOOKUP(D5,Products!$B$7:$D$13,3)</f>
        <v>120</v>
      </c>
      <c r="H31" s="3">
        <f t="shared" ref="H31:H36" si="0">E5*G31</f>
        <v>240</v>
      </c>
    </row>
    <row r="32" spans="6:8" x14ac:dyDescent="0.25">
      <c r="G32" s="3">
        <f>VLOOKUP(D6,Products!$B$7:$D$13,3)</f>
        <v>200</v>
      </c>
      <c r="H32" s="3">
        <f t="shared" si="0"/>
        <v>200</v>
      </c>
    </row>
    <row r="33" spans="7:8" x14ac:dyDescent="0.25">
      <c r="G33" s="3">
        <f>VLOOKUP(D7,Products!$B$7:$D$13,3)</f>
        <v>220</v>
      </c>
      <c r="H33" s="3">
        <f t="shared" si="0"/>
        <v>880</v>
      </c>
    </row>
    <row r="34" spans="7:8" x14ac:dyDescent="0.25">
      <c r="G34" s="3">
        <f>VLOOKUP(D8,Products!$B$7:$D$13,3)</f>
        <v>130</v>
      </c>
      <c r="H34" s="3">
        <f t="shared" si="0"/>
        <v>390</v>
      </c>
    </row>
    <row r="35" spans="7:8" x14ac:dyDescent="0.25">
      <c r="G35" s="3">
        <f>VLOOKUP(D9,Products!$B$7:$D$13,3)</f>
        <v>150</v>
      </c>
      <c r="H35" s="3">
        <f t="shared" si="0"/>
        <v>750</v>
      </c>
    </row>
    <row r="36" spans="7:8" x14ac:dyDescent="0.25">
      <c r="G36" s="3">
        <f>VLOOKUP(D10,Products!$B$7:$D$13,3)</f>
        <v>90</v>
      </c>
      <c r="H36" s="3">
        <f t="shared" si="0"/>
        <v>540</v>
      </c>
    </row>
    <row r="40" spans="7:8" x14ac:dyDescent="0.25">
      <c r="G40" t="s">
        <v>17</v>
      </c>
    </row>
    <row r="42" spans="7:8" x14ac:dyDescent="0.25">
      <c r="G42" s="5" t="s">
        <v>26</v>
      </c>
    </row>
    <row r="43" spans="7:8" x14ac:dyDescent="0.25">
      <c r="G43" s="3" t="str">
        <f>IF(ISNA(VLOOKUP(D5,Products!$B$7:$D$13,1,0)),"NOT EXIST","EXIST")</f>
        <v>EXIST</v>
      </c>
    </row>
    <row r="44" spans="7:8" x14ac:dyDescent="0.25">
      <c r="G44" s="3" t="str">
        <f>IF(ISNA(VLOOKUP(D6,Products!$B$7:$D$13,1,0)),"NOT EXIST","EXIST")</f>
        <v>EXIST</v>
      </c>
    </row>
    <row r="45" spans="7:8" x14ac:dyDescent="0.25">
      <c r="G45" s="3" t="str">
        <f>IF(ISNA(VLOOKUP(D7,Products!$B$7:$D$13,1,0)),"NOT EXIST","EXIST")</f>
        <v>EXIST</v>
      </c>
    </row>
    <row r="46" spans="7:8" x14ac:dyDescent="0.25">
      <c r="G46" s="3" t="str">
        <f>IF(ISNA(VLOOKUP(D8,Products!$B$7:$D$13,1,0)),"NOT EXIST","EXIST")</f>
        <v>EXIST</v>
      </c>
    </row>
    <row r="47" spans="7:8" x14ac:dyDescent="0.25">
      <c r="G47" s="3" t="str">
        <f>IF(ISNA(VLOOKUP(D9,Products!$B$7:$D$13,1,0)),"NOT EXIST","EXIST")</f>
        <v>EXIST</v>
      </c>
    </row>
    <row r="48" spans="7:8" x14ac:dyDescent="0.25">
      <c r="G48" s="3" t="str">
        <f>IF(ISNA(VLOOKUP(D10,Products!$B$7:$D$13,1,0)),"NOT EXIST","EXIST")</f>
        <v>EXIST</v>
      </c>
    </row>
    <row r="49" spans="7:8" x14ac:dyDescent="0.25">
      <c r="G49" s="9" t="str">
        <f>IF(ISNA(VLOOKUP(D11,Products!$B$7:$D$13,1,0)),"NOT EXIST","EXIST")</f>
        <v>NOT EXIST</v>
      </c>
    </row>
    <row r="53" spans="7:8" x14ac:dyDescent="0.25">
      <c r="G53" t="s">
        <v>18</v>
      </c>
    </row>
    <row r="55" spans="7:8" x14ac:dyDescent="0.25">
      <c r="G55" s="5" t="s">
        <v>28</v>
      </c>
      <c r="H55" s="5" t="s">
        <v>27</v>
      </c>
    </row>
    <row r="56" spans="7:8" x14ac:dyDescent="0.25">
      <c r="G56" s="3">
        <f>VLOOKUP(D5,Products!$B$7:$D$13,3)</f>
        <v>120</v>
      </c>
      <c r="H56" s="3">
        <f>G56*0.9</f>
        <v>108</v>
      </c>
    </row>
    <row r="57" spans="7:8" x14ac:dyDescent="0.25">
      <c r="G57" s="3">
        <f>VLOOKUP(D6,Products!$B$7:$D$13,3)</f>
        <v>200</v>
      </c>
      <c r="H57" s="3">
        <f t="shared" ref="H57:H61" si="1">G57*0.9</f>
        <v>180</v>
      </c>
    </row>
    <row r="58" spans="7:8" x14ac:dyDescent="0.25">
      <c r="G58" s="3">
        <f>VLOOKUP(D7,Products!$B$7:$D$13,3)</f>
        <v>220</v>
      </c>
      <c r="H58" s="3">
        <f t="shared" si="1"/>
        <v>198</v>
      </c>
    </row>
    <row r="59" spans="7:8" x14ac:dyDescent="0.25">
      <c r="G59" s="3">
        <f>VLOOKUP(D8,Products!$B$7:$D$13,3)</f>
        <v>130</v>
      </c>
      <c r="H59" s="3">
        <f t="shared" si="1"/>
        <v>117</v>
      </c>
    </row>
    <row r="60" spans="7:8" x14ac:dyDescent="0.25">
      <c r="G60" s="3">
        <f>VLOOKUP(D9,Products!$B$7:$D$13,3)</f>
        <v>150</v>
      </c>
      <c r="H60" s="3">
        <f t="shared" si="1"/>
        <v>135</v>
      </c>
    </row>
    <row r="61" spans="7:8" x14ac:dyDescent="0.25">
      <c r="G61" s="3">
        <f>VLOOKUP(D10,Products!$B$7:$D$13,3)</f>
        <v>90</v>
      </c>
      <c r="H61" s="3">
        <f t="shared" si="1"/>
        <v>81</v>
      </c>
    </row>
    <row r="65" spans="7:9" x14ac:dyDescent="0.25">
      <c r="G65" t="s">
        <v>19</v>
      </c>
    </row>
    <row r="67" spans="7:9" x14ac:dyDescent="0.25">
      <c r="G67" s="8" t="s">
        <v>30</v>
      </c>
      <c r="H67" s="8" t="s">
        <v>29</v>
      </c>
    </row>
    <row r="68" spans="7:9" x14ac:dyDescent="0.25">
      <c r="G68" s="3">
        <f>VLOOKUP(D5,Products!$B$7:$D$13,3,0)</f>
        <v>120</v>
      </c>
      <c r="H68" s="3">
        <f>MAX(G68*E5)</f>
        <v>240</v>
      </c>
    </row>
    <row r="69" spans="7:9" x14ac:dyDescent="0.25">
      <c r="G69" s="3">
        <f>VLOOKUP(D6,Products!$B$7:$D$13,3,0)</f>
        <v>200</v>
      </c>
      <c r="H69" s="3">
        <f t="shared" ref="H69:H73" si="2">MAX(G69*E6)</f>
        <v>200</v>
      </c>
      <c r="I69" s="11"/>
    </row>
    <row r="70" spans="7:9" x14ac:dyDescent="0.25">
      <c r="G70" s="3">
        <f>VLOOKUP(D7,Products!$B$7:$D$13,3,0)</f>
        <v>220</v>
      </c>
      <c r="H70" s="3">
        <f t="shared" si="2"/>
        <v>880</v>
      </c>
      <c r="I70" s="11"/>
    </row>
    <row r="71" spans="7:9" x14ac:dyDescent="0.25">
      <c r="G71" s="3">
        <f>VLOOKUP(D8,Products!$B$7:$D$13,3,0)</f>
        <v>130</v>
      </c>
      <c r="H71" s="3">
        <f t="shared" si="2"/>
        <v>390</v>
      </c>
      <c r="I71" s="11"/>
    </row>
    <row r="72" spans="7:9" x14ac:dyDescent="0.25">
      <c r="G72" s="3">
        <f>VLOOKUP(D9,Products!$B$7:$D$13,3,0)</f>
        <v>150</v>
      </c>
      <c r="H72" s="3">
        <f t="shared" si="2"/>
        <v>750</v>
      </c>
      <c r="I72" s="11"/>
    </row>
    <row r="73" spans="7:9" x14ac:dyDescent="0.25">
      <c r="G73" s="3">
        <f>VLOOKUP(D10,Products!$B$7:$D$13,3,0)</f>
        <v>90</v>
      </c>
      <c r="H73" s="3">
        <f t="shared" si="2"/>
        <v>540</v>
      </c>
      <c r="I73" s="11"/>
    </row>
    <row r="74" spans="7:9" x14ac:dyDescent="0.25">
      <c r="I74" s="11"/>
    </row>
    <row r="75" spans="7:9" x14ac:dyDescent="0.25">
      <c r="I75" s="11"/>
    </row>
    <row r="76" spans="7:9" x14ac:dyDescent="0.25">
      <c r="G76" t="s">
        <v>20</v>
      </c>
    </row>
    <row r="78" spans="7:9" x14ac:dyDescent="0.25">
      <c r="G78" s="8" t="s">
        <v>31</v>
      </c>
    </row>
    <row r="79" spans="7:9" x14ac:dyDescent="0.25">
      <c r="G79" s="3" t="str">
        <f>IF(ISNA(VLOOKUP(C5,C4:E13,1)),"Not Ordered","Ordered")</f>
        <v>Ordered</v>
      </c>
    </row>
    <row r="80" spans="7:9" x14ac:dyDescent="0.25">
      <c r="G80" s="3" t="str">
        <f t="shared" ref="G80:G85" si="3">IF(ISNA(VLOOKUP(C6,C5:E14,1)),"Not Ordered","Ordered")</f>
        <v>Ordered</v>
      </c>
    </row>
    <row r="81" spans="7:8" x14ac:dyDescent="0.25">
      <c r="G81" s="3" t="str">
        <f t="shared" si="3"/>
        <v>Ordered</v>
      </c>
    </row>
    <row r="82" spans="7:8" x14ac:dyDescent="0.25">
      <c r="G82" s="3" t="str">
        <f t="shared" si="3"/>
        <v>Ordered</v>
      </c>
    </row>
    <row r="83" spans="7:8" x14ac:dyDescent="0.25">
      <c r="G83" s="3" t="str">
        <f t="shared" si="3"/>
        <v>Ordered</v>
      </c>
    </row>
    <row r="84" spans="7:8" x14ac:dyDescent="0.25">
      <c r="G84" s="3" t="str">
        <f t="shared" si="3"/>
        <v>Ordered</v>
      </c>
    </row>
    <row r="85" spans="7:8" x14ac:dyDescent="0.25">
      <c r="G85" s="10" t="str">
        <f t="shared" si="3"/>
        <v>Ordered</v>
      </c>
    </row>
    <row r="86" spans="7:8" x14ac:dyDescent="0.25">
      <c r="G86" s="10" t="str">
        <f>IF(ISNA(VLOOKUP(C12,C11:E20,1)),"Not Ordered","Ordered")</f>
        <v>Not Ordered</v>
      </c>
    </row>
    <row r="90" spans="7:8" x14ac:dyDescent="0.25">
      <c r="G90" t="s">
        <v>22</v>
      </c>
    </row>
    <row r="92" spans="7:8" x14ac:dyDescent="0.25">
      <c r="G92" s="8" t="s">
        <v>33</v>
      </c>
      <c r="H92" s="8" t="s">
        <v>34</v>
      </c>
    </row>
    <row r="93" spans="7:8" x14ac:dyDescent="0.25">
      <c r="G93" s="3" t="str">
        <f>VLOOKUP(D5,Products!$B$7:$D$13,2,0)</f>
        <v>PRODUCT A</v>
      </c>
      <c r="H93" s="3">
        <f t="shared" ref="H93:H98" si="4">SUMIF($D$5:$D$11,D5,$E$5:$E$11)</f>
        <v>2</v>
      </c>
    </row>
    <row r="94" spans="7:8" x14ac:dyDescent="0.25">
      <c r="G94" s="3" t="str">
        <f>VLOOKUP(D6,Products!$B$7:$D$13,2,0)</f>
        <v>PRODUCT C</v>
      </c>
      <c r="H94" s="3">
        <f t="shared" si="4"/>
        <v>1</v>
      </c>
    </row>
    <row r="95" spans="7:8" x14ac:dyDescent="0.25">
      <c r="G95" s="3" t="str">
        <f>VLOOKUP(D7,Products!$B$7:$D$13,2,0)</f>
        <v>PRODUCT E</v>
      </c>
      <c r="H95" s="3">
        <f t="shared" si="4"/>
        <v>4</v>
      </c>
    </row>
    <row r="96" spans="7:8" x14ac:dyDescent="0.25">
      <c r="G96" s="3" t="str">
        <f>VLOOKUP(D8,Products!$B$7:$D$13,2,0)</f>
        <v>PRODUCT F</v>
      </c>
      <c r="H96" s="3">
        <f t="shared" si="4"/>
        <v>3</v>
      </c>
    </row>
    <row r="97" spans="7:8" x14ac:dyDescent="0.25">
      <c r="G97" s="3" t="str">
        <f>VLOOKUP(D9,Products!$B$7:$D$13,2,0)</f>
        <v>PRODUCT B</v>
      </c>
      <c r="H97" s="3">
        <f t="shared" si="4"/>
        <v>5</v>
      </c>
    </row>
    <row r="98" spans="7:8" x14ac:dyDescent="0.25">
      <c r="G98" s="3" t="str">
        <f>VLOOKUP(D10,Products!$B$7:$D$13,2,0)</f>
        <v>PRODUCT D</v>
      </c>
      <c r="H98" s="3">
        <f t="shared" si="4"/>
        <v>6</v>
      </c>
    </row>
  </sheetData>
  <conditionalFormatting sqref="M11 H68:H73">
    <cfRule type="top10" dxfId="1" priority="2" rank="1"/>
  </conditionalFormatting>
  <conditionalFormatting sqref="I70:I75">
    <cfRule type="top10" dxfId="0" priority="1" rank="1"/>
  </conditionalFormatting>
  <dataValidations count="1">
    <dataValidation type="list" allowBlank="1" showInputMessage="1" showErrorMessage="1" sqref="K12" xr:uid="{89224C27-5C8A-41AF-82D3-93A965FE76C8}">
      <formula1>$D$5:$D$10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Rittika Ghosh</dc:creator>
  <cp:lastModifiedBy>Rittika Ghosh</cp:lastModifiedBy>
  <dcterms:created xsi:type="dcterms:W3CDTF">2026-05-21T06:20:38Z</dcterms:created>
  <dcterms:modified xsi:type="dcterms:W3CDTF">2026-05-26T05:09:53Z</dcterms:modified>
</cp:coreProperties>
</file>